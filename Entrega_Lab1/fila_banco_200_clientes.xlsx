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  <sheet xmlns:r="http://schemas.openxmlformats.org/officeDocument/2006/relationships" name="10 ru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pivotButton="0" quotePrefix="0" xfId="0"/>
    <xf numFmtId="164" fontId="0" fillId="4" borderId="1" applyAlignment="1" pivotButton="0" quotePrefix="0" xfId="0">
      <alignment horizontal="center"/>
    </xf>
    <xf numFmtId="10" fontId="0" fillId="4" borderId="1" applyAlignment="1" pivotButton="0" quotePrefix="0" xfId="0">
      <alignment horizontal="center"/>
    </xf>
    <xf numFmtId="0" fontId="1" fillId="0" borderId="0" pivotButton="0" quotePrefix="0" xfId="0"/>
    <xf numFmtId="0" fontId="1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1" customWidth="1" min="4" max="4"/>
    <col width="12" customWidth="1" min="5" max="5"/>
    <col width="13" customWidth="1" min="6" max="6"/>
    <col width="12" customWidth="1" min="7" max="7"/>
    <col width="10" customWidth="1" min="8" max="8"/>
    <col width="11" customWidth="1" min="9" max="9"/>
    <col width="3" customWidth="1" min="10" max="10"/>
    <col width="42" customWidth="1" min="11" max="11"/>
    <col width="12" customWidth="1" min="12" max="12"/>
  </cols>
  <sheetData>
    <row r="1" ht="34" customHeight="1">
      <c r="A1" s="1" t="inlineStr">
        <is>
          <t>Customer</t>
        </is>
      </c>
      <c r="B1" s="1" t="inlineStr">
        <is>
          <t>Time Between Arrivals</t>
        </is>
      </c>
      <c r="C1" s="1" t="inlineStr">
        <is>
          <t>Arrival Time</t>
        </is>
      </c>
      <c r="D1" s="1" t="inlineStr">
        <is>
          <t>Service Time</t>
        </is>
      </c>
      <c r="E1" s="1" t="inlineStr">
        <is>
          <t>Service Begins</t>
        </is>
      </c>
      <c r="F1" s="1" t="inlineStr">
        <is>
          <t>Time Service Ends</t>
        </is>
      </c>
      <c r="G1" s="1" t="inlineStr">
        <is>
          <t>Time in System</t>
        </is>
      </c>
      <c r="H1" s="1" t="inlineStr">
        <is>
          <t>Idle Time</t>
        </is>
      </c>
      <c r="I1" s="1" t="inlineStr">
        <is>
          <t>Time in Queue</t>
        </is>
      </c>
    </row>
    <row r="2">
      <c r="A2" s="2" t="n">
        <v>1</v>
      </c>
      <c r="B2" s="3" t="inlineStr">
        <is>
          <t>-</t>
        </is>
      </c>
      <c r="C2" s="2" t="n">
        <v>0</v>
      </c>
      <c r="D2" s="3" t="n">
        <v>2</v>
      </c>
      <c r="E2" s="2">
        <f>C2</f>
        <v/>
      </c>
      <c r="F2" s="2">
        <f>E2+D2</f>
        <v/>
      </c>
      <c r="G2" s="2">
        <f>F2-C2</f>
        <v/>
      </c>
      <c r="H2" s="2" t="n">
        <v>0</v>
      </c>
      <c r="I2" s="2">
        <f>E2-C2</f>
        <v/>
      </c>
      <c r="K2" s="4" t="inlineStr">
        <is>
          <t>MEDIDAS DE DESEMPEÑO</t>
        </is>
      </c>
    </row>
    <row r="3">
      <c r="A3" s="2" t="n">
        <v>2</v>
      </c>
      <c r="B3" s="3" t="n">
        <v>3</v>
      </c>
      <c r="C3" s="2">
        <f>C2+B3</f>
        <v/>
      </c>
      <c r="D3" s="3" t="n">
        <v>3</v>
      </c>
      <c r="E3" s="2">
        <f>MAX(C3,F2)</f>
        <v/>
      </c>
      <c r="F3" s="2">
        <f>E3+D3</f>
        <v/>
      </c>
      <c r="G3" s="2">
        <f>F3-C3</f>
        <v/>
      </c>
      <c r="H3" s="2">
        <f>MAX(0,C3-F2)</f>
        <v/>
      </c>
      <c r="I3" s="2">
        <f>E3-C3</f>
        <v/>
      </c>
    </row>
    <row r="4">
      <c r="A4" s="2" t="n">
        <v>3</v>
      </c>
      <c r="B4" s="3" t="n">
        <v>7</v>
      </c>
      <c r="C4" s="2">
        <f>C3+B4</f>
        <v/>
      </c>
      <c r="D4" s="3" t="n">
        <v>1</v>
      </c>
      <c r="E4" s="2">
        <f>MAX(C4,F3)</f>
        <v/>
      </c>
      <c r="F4" s="2">
        <f>E4+D4</f>
        <v/>
      </c>
      <c r="G4" s="2">
        <f>F4-C4</f>
        <v/>
      </c>
      <c r="H4" s="2">
        <f>MAX(0,C4-F3)</f>
        <v/>
      </c>
      <c r="I4" s="2">
        <f>E4-C4</f>
        <v/>
      </c>
      <c r="K4" s="5" t="inlineStr">
        <is>
          <t>Average time in system:</t>
        </is>
      </c>
      <c r="L4" s="6">
        <f>G202/200</f>
        <v/>
      </c>
    </row>
    <row r="5">
      <c r="A5" s="2" t="n">
        <v>4</v>
      </c>
      <c r="B5" s="3" t="n">
        <v>8</v>
      </c>
      <c r="C5" s="2">
        <f>C4+B5</f>
        <v/>
      </c>
      <c r="D5" s="3" t="n">
        <v>3</v>
      </c>
      <c r="E5" s="2">
        <f>MAX(C5,F4)</f>
        <v/>
      </c>
      <c r="F5" s="2">
        <f>E5+D5</f>
        <v/>
      </c>
      <c r="G5" s="2">
        <f>F5-C5</f>
        <v/>
      </c>
      <c r="H5" s="2">
        <f>MAX(0,C5-F4)</f>
        <v/>
      </c>
      <c r="I5" s="2">
        <f>E5-C5</f>
        <v/>
      </c>
      <c r="K5" s="5" t="inlineStr">
        <is>
          <t>Percent idle time:</t>
        </is>
      </c>
      <c r="L5" s="7">
        <f>H202/F201</f>
        <v/>
      </c>
    </row>
    <row r="6">
      <c r="A6" s="2" t="n">
        <v>5</v>
      </c>
      <c r="B6" s="3" t="n">
        <v>10</v>
      </c>
      <c r="C6" s="2">
        <f>C5+B6</f>
        <v/>
      </c>
      <c r="D6" s="3" t="n">
        <v>5</v>
      </c>
      <c r="E6" s="2">
        <f>MAX(C6,F5)</f>
        <v/>
      </c>
      <c r="F6" s="2">
        <f>E6+D6</f>
        <v/>
      </c>
      <c r="G6" s="2">
        <f>F6-C6</f>
        <v/>
      </c>
      <c r="H6" s="2">
        <f>MAX(0,C6-F5)</f>
        <v/>
      </c>
      <c r="I6" s="2">
        <f>E6-C6</f>
        <v/>
      </c>
      <c r="K6" s="5" t="inlineStr">
        <is>
          <t>Average waiting time per customer:</t>
        </is>
      </c>
      <c r="L6" s="6">
        <f>I202/200</f>
        <v/>
      </c>
    </row>
    <row r="7">
      <c r="A7" s="2" t="n">
        <v>6</v>
      </c>
      <c r="B7" s="3" t="n">
        <v>9</v>
      </c>
      <c r="C7" s="2">
        <f>C6+B7</f>
        <v/>
      </c>
      <c r="D7" s="3" t="n">
        <v>2</v>
      </c>
      <c r="E7" s="2">
        <f>MAX(C7,F6)</f>
        <v/>
      </c>
      <c r="F7" s="2">
        <f>E7+D7</f>
        <v/>
      </c>
      <c r="G7" s="2">
        <f>F7-C7</f>
        <v/>
      </c>
      <c r="H7" s="2">
        <f>MAX(0,C7-F6)</f>
        <v/>
      </c>
      <c r="I7" s="2">
        <f>E7-C7</f>
        <v/>
      </c>
      <c r="K7" s="5" t="inlineStr">
        <is>
          <t>Fraction having to wait:</t>
        </is>
      </c>
      <c r="L7" s="6">
        <f>COUNTIF(I2:I201,"&gt;0")/200</f>
        <v/>
      </c>
    </row>
    <row r="8">
      <c r="A8" s="2" t="n">
        <v>7</v>
      </c>
      <c r="B8" s="3" t="n">
        <v>1</v>
      </c>
      <c r="C8" s="2">
        <f>C7+B8</f>
        <v/>
      </c>
      <c r="D8" s="3" t="n">
        <v>4</v>
      </c>
      <c r="E8" s="2">
        <f>MAX(C8,F7)</f>
        <v/>
      </c>
      <c r="F8" s="2">
        <f>E8+D8</f>
        <v/>
      </c>
      <c r="G8" s="2">
        <f>F8-C8</f>
        <v/>
      </c>
      <c r="H8" s="2">
        <f>MAX(0,C8-F7)</f>
        <v/>
      </c>
      <c r="I8" s="2">
        <f>E8-C8</f>
        <v/>
      </c>
      <c r="K8" s="5" t="inlineStr">
        <is>
          <t>Average waiting time of those who waited:</t>
        </is>
      </c>
      <c r="L8" s="6">
        <f>I202/COUNTIF(I2:I201,"&gt;0")</f>
        <v/>
      </c>
    </row>
    <row r="9">
      <c r="A9" s="2" t="n">
        <v>8</v>
      </c>
      <c r="B9" s="3" t="n">
        <v>2</v>
      </c>
      <c r="C9" s="2">
        <f>C8+B9</f>
        <v/>
      </c>
      <c r="D9" s="3" t="n">
        <v>3</v>
      </c>
      <c r="E9" s="2">
        <f>MAX(C9,F8)</f>
        <v/>
      </c>
      <c r="F9" s="2">
        <f>E9+D9</f>
        <v/>
      </c>
      <c r="G9" s="2">
        <f>F9-C9</f>
        <v/>
      </c>
      <c r="H9" s="2">
        <f>MAX(0,C9-F8)</f>
        <v/>
      </c>
      <c r="I9" s="2">
        <f>E9-C9</f>
        <v/>
      </c>
    </row>
    <row r="10">
      <c r="A10" s="2" t="n">
        <v>9</v>
      </c>
      <c r="B10" s="3" t="n">
        <v>7</v>
      </c>
      <c r="C10" s="2">
        <f>C9+B10</f>
        <v/>
      </c>
      <c r="D10" s="3" t="n">
        <v>4</v>
      </c>
      <c r="E10" s="2">
        <f>MAX(C10,F9)</f>
        <v/>
      </c>
      <c r="F10" s="2">
        <f>E10+D10</f>
        <v/>
      </c>
      <c r="G10" s="2">
        <f>F10-C10</f>
        <v/>
      </c>
      <c r="H10" s="2">
        <f>MAX(0,C10-F9)</f>
        <v/>
      </c>
      <c r="I10" s="2">
        <f>E10-C10</f>
        <v/>
      </c>
    </row>
    <row r="11">
      <c r="A11" s="2" t="n">
        <v>10</v>
      </c>
      <c r="B11" s="3" t="n">
        <v>1</v>
      </c>
      <c r="C11" s="2">
        <f>C10+B11</f>
        <v/>
      </c>
      <c r="D11" s="3" t="n">
        <v>1</v>
      </c>
      <c r="E11" s="2">
        <f>MAX(C11,F10)</f>
        <v/>
      </c>
      <c r="F11" s="2">
        <f>E11+D11</f>
        <v/>
      </c>
      <c r="G11" s="2">
        <f>F11-C11</f>
        <v/>
      </c>
      <c r="H11" s="2">
        <f>MAX(0,C11-F10)</f>
        <v/>
      </c>
      <c r="I11" s="2">
        <f>E11-C11</f>
        <v/>
      </c>
    </row>
    <row r="12">
      <c r="A12" s="2" t="n">
        <v>11</v>
      </c>
      <c r="B12" s="3" t="n">
        <v>7</v>
      </c>
      <c r="C12" s="2">
        <f>C11+B12</f>
        <v/>
      </c>
      <c r="D12" s="3" t="n">
        <v>3</v>
      </c>
      <c r="E12" s="2">
        <f>MAX(C12,F11)</f>
        <v/>
      </c>
      <c r="F12" s="2">
        <f>E12+D12</f>
        <v/>
      </c>
      <c r="G12" s="2">
        <f>F12-C12</f>
        <v/>
      </c>
      <c r="H12" s="2">
        <f>MAX(0,C12-F11)</f>
        <v/>
      </c>
      <c r="I12" s="2">
        <f>E12-C12</f>
        <v/>
      </c>
    </row>
    <row r="13">
      <c r="A13" s="2" t="n">
        <v>12</v>
      </c>
      <c r="B13" s="3" t="n">
        <v>8</v>
      </c>
      <c r="C13" s="2">
        <f>C12+B13</f>
        <v/>
      </c>
      <c r="D13" s="3" t="n">
        <v>2</v>
      </c>
      <c r="E13" s="2">
        <f>MAX(C13,F12)</f>
        <v/>
      </c>
      <c r="F13" s="2">
        <f>E13+D13</f>
        <v/>
      </c>
      <c r="G13" s="2">
        <f>F13-C13</f>
        <v/>
      </c>
      <c r="H13" s="2">
        <f>MAX(0,C13-F12)</f>
        <v/>
      </c>
      <c r="I13" s="2">
        <f>E13-C13</f>
        <v/>
      </c>
    </row>
    <row r="14">
      <c r="A14" s="2" t="n">
        <v>13</v>
      </c>
      <c r="B14" s="3" t="n">
        <v>4</v>
      </c>
      <c r="C14" s="2">
        <f>C13+B14</f>
        <v/>
      </c>
      <c r="D14" s="3" t="n">
        <v>3</v>
      </c>
      <c r="E14" s="2">
        <f>MAX(C14,F13)</f>
        <v/>
      </c>
      <c r="F14" s="2">
        <f>E14+D14</f>
        <v/>
      </c>
      <c r="G14" s="2">
        <f>F14-C14</f>
        <v/>
      </c>
      <c r="H14" s="2">
        <f>MAX(0,C14-F13)</f>
        <v/>
      </c>
      <c r="I14" s="2">
        <f>E14-C14</f>
        <v/>
      </c>
    </row>
    <row r="15">
      <c r="A15" s="2" t="n">
        <v>14</v>
      </c>
      <c r="B15" s="3" t="n">
        <v>7</v>
      </c>
      <c r="C15" s="2">
        <f>C14+B15</f>
        <v/>
      </c>
      <c r="D15" s="3" t="n">
        <v>4</v>
      </c>
      <c r="E15" s="2">
        <f>MAX(C15,F14)</f>
        <v/>
      </c>
      <c r="F15" s="2">
        <f>E15+D15</f>
        <v/>
      </c>
      <c r="G15" s="2">
        <f>F15-C15</f>
        <v/>
      </c>
      <c r="H15" s="2">
        <f>MAX(0,C15-F14)</f>
        <v/>
      </c>
      <c r="I15" s="2">
        <f>E15-C15</f>
        <v/>
      </c>
    </row>
    <row r="16">
      <c r="A16" s="2" t="n">
        <v>15</v>
      </c>
      <c r="B16" s="3" t="n">
        <v>1</v>
      </c>
      <c r="C16" s="2">
        <f>C15+B16</f>
        <v/>
      </c>
      <c r="D16" s="3" t="n">
        <v>3</v>
      </c>
      <c r="E16" s="2">
        <f>MAX(C16,F15)</f>
        <v/>
      </c>
      <c r="F16" s="2">
        <f>E16+D16</f>
        <v/>
      </c>
      <c r="G16" s="2">
        <f>F16-C16</f>
        <v/>
      </c>
      <c r="H16" s="2">
        <f>MAX(0,C16-F15)</f>
        <v/>
      </c>
      <c r="I16" s="2">
        <f>E16-C16</f>
        <v/>
      </c>
    </row>
    <row r="17">
      <c r="A17" s="2" t="n">
        <v>16</v>
      </c>
      <c r="B17" s="3" t="n">
        <v>2</v>
      </c>
      <c r="C17" s="2">
        <f>C16+B17</f>
        <v/>
      </c>
      <c r="D17" s="3" t="n">
        <v>6</v>
      </c>
      <c r="E17" s="2">
        <f>MAX(C17,F16)</f>
        <v/>
      </c>
      <c r="F17" s="2">
        <f>E17+D17</f>
        <v/>
      </c>
      <c r="G17" s="2">
        <f>F17-C17</f>
        <v/>
      </c>
      <c r="H17" s="2">
        <f>MAX(0,C17-F16)</f>
        <v/>
      </c>
      <c r="I17" s="2">
        <f>E17-C17</f>
        <v/>
      </c>
    </row>
    <row r="18">
      <c r="A18" s="2" t="n">
        <v>17</v>
      </c>
      <c r="B18" s="3" t="n">
        <v>7</v>
      </c>
      <c r="C18" s="2">
        <f>C17+B18</f>
        <v/>
      </c>
      <c r="D18" s="3" t="n">
        <v>3</v>
      </c>
      <c r="E18" s="2">
        <f>MAX(C18,F17)</f>
        <v/>
      </c>
      <c r="F18" s="2">
        <f>E18+D18</f>
        <v/>
      </c>
      <c r="G18" s="2">
        <f>F18-C18</f>
        <v/>
      </c>
      <c r="H18" s="2">
        <f>MAX(0,C18-F17)</f>
        <v/>
      </c>
      <c r="I18" s="2">
        <f>E18-C18</f>
        <v/>
      </c>
    </row>
    <row r="19">
      <c r="A19" s="2" t="n">
        <v>18</v>
      </c>
      <c r="B19" s="3" t="n">
        <v>10</v>
      </c>
      <c r="C19" s="2">
        <f>C18+B19</f>
        <v/>
      </c>
      <c r="D19" s="3" t="n">
        <v>3</v>
      </c>
      <c r="E19" s="2">
        <f>MAX(C19,F18)</f>
        <v/>
      </c>
      <c r="F19" s="2">
        <f>E19+D19</f>
        <v/>
      </c>
      <c r="G19" s="2">
        <f>F19-C19</f>
        <v/>
      </c>
      <c r="H19" s="2">
        <f>MAX(0,C19-F18)</f>
        <v/>
      </c>
      <c r="I19" s="2">
        <f>E19-C19</f>
        <v/>
      </c>
    </row>
    <row r="20">
      <c r="A20" s="2" t="n">
        <v>19</v>
      </c>
      <c r="B20" s="3" t="n">
        <v>7</v>
      </c>
      <c r="C20" s="2">
        <f>C19+B20</f>
        <v/>
      </c>
      <c r="D20" s="3" t="n">
        <v>5</v>
      </c>
      <c r="E20" s="2">
        <f>MAX(C20,F19)</f>
        <v/>
      </c>
      <c r="F20" s="2">
        <f>E20+D20</f>
        <v/>
      </c>
      <c r="G20" s="2">
        <f>F20-C20</f>
        <v/>
      </c>
      <c r="H20" s="2">
        <f>MAX(0,C20-F19)</f>
        <v/>
      </c>
      <c r="I20" s="2">
        <f>E20-C20</f>
        <v/>
      </c>
    </row>
    <row r="21">
      <c r="A21" s="2" t="n">
        <v>20</v>
      </c>
      <c r="B21" s="3" t="n">
        <v>5</v>
      </c>
      <c r="C21" s="2">
        <f>C20+B21</f>
        <v/>
      </c>
      <c r="D21" s="3" t="n">
        <v>6</v>
      </c>
      <c r="E21" s="2">
        <f>MAX(C21,F20)</f>
        <v/>
      </c>
      <c r="F21" s="2">
        <f>E21+D21</f>
        <v/>
      </c>
      <c r="G21" s="2">
        <f>F21-C21</f>
        <v/>
      </c>
      <c r="H21" s="2">
        <f>MAX(0,C21-F20)</f>
        <v/>
      </c>
      <c r="I21" s="2">
        <f>E21-C21</f>
        <v/>
      </c>
    </row>
    <row r="22">
      <c r="A22" s="2" t="n">
        <v>21</v>
      </c>
      <c r="B22" s="3" t="n">
        <v>3</v>
      </c>
      <c r="C22" s="2">
        <f>C21+B22</f>
        <v/>
      </c>
      <c r="D22" s="3" t="n">
        <v>6</v>
      </c>
      <c r="E22" s="2">
        <f>MAX(C22,F21)</f>
        <v/>
      </c>
      <c r="F22" s="2">
        <f>E22+D22</f>
        <v/>
      </c>
      <c r="G22" s="2">
        <f>F22-C22</f>
        <v/>
      </c>
      <c r="H22" s="2">
        <f>MAX(0,C22-F21)</f>
        <v/>
      </c>
      <c r="I22" s="2">
        <f>E22-C22</f>
        <v/>
      </c>
    </row>
    <row r="23">
      <c r="A23" s="2" t="n">
        <v>22</v>
      </c>
      <c r="B23" s="3" t="n">
        <v>9</v>
      </c>
      <c r="C23" s="2">
        <f>C22+B23</f>
        <v/>
      </c>
      <c r="D23" s="3" t="n">
        <v>3</v>
      </c>
      <c r="E23" s="2">
        <f>MAX(C23,F22)</f>
        <v/>
      </c>
      <c r="F23" s="2">
        <f>E23+D23</f>
        <v/>
      </c>
      <c r="G23" s="2">
        <f>F23-C23</f>
        <v/>
      </c>
      <c r="H23" s="2">
        <f>MAX(0,C23-F22)</f>
        <v/>
      </c>
      <c r="I23" s="2">
        <f>E23-C23</f>
        <v/>
      </c>
    </row>
    <row r="24">
      <c r="A24" s="2" t="n">
        <v>23</v>
      </c>
      <c r="B24" s="3" t="n">
        <v>8</v>
      </c>
      <c r="C24" s="2">
        <f>C23+B24</f>
        <v/>
      </c>
      <c r="D24" s="3" t="n">
        <v>1</v>
      </c>
      <c r="E24" s="2">
        <f>MAX(C24,F23)</f>
        <v/>
      </c>
      <c r="F24" s="2">
        <f>E24+D24</f>
        <v/>
      </c>
      <c r="G24" s="2">
        <f>F24-C24</f>
        <v/>
      </c>
      <c r="H24" s="2">
        <f>MAX(0,C24-F23)</f>
        <v/>
      </c>
      <c r="I24" s="2">
        <f>E24-C24</f>
        <v/>
      </c>
    </row>
    <row r="25">
      <c r="A25" s="2" t="n">
        <v>24</v>
      </c>
      <c r="B25" s="3" t="n">
        <v>10</v>
      </c>
      <c r="C25" s="2">
        <f>C24+B25</f>
        <v/>
      </c>
      <c r="D25" s="3" t="n">
        <v>1</v>
      </c>
      <c r="E25" s="2">
        <f>MAX(C25,F24)</f>
        <v/>
      </c>
      <c r="F25" s="2">
        <f>E25+D25</f>
        <v/>
      </c>
      <c r="G25" s="2">
        <f>F25-C25</f>
        <v/>
      </c>
      <c r="H25" s="2">
        <f>MAX(0,C25-F24)</f>
        <v/>
      </c>
      <c r="I25" s="2">
        <f>E25-C25</f>
        <v/>
      </c>
    </row>
    <row r="26">
      <c r="A26" s="2" t="n">
        <v>25</v>
      </c>
      <c r="B26" s="3" t="n">
        <v>6</v>
      </c>
      <c r="C26" s="2">
        <f>C25+B26</f>
        <v/>
      </c>
      <c r="D26" s="3" t="n">
        <v>5</v>
      </c>
      <c r="E26" s="2">
        <f>MAX(C26,F25)</f>
        <v/>
      </c>
      <c r="F26" s="2">
        <f>E26+D26</f>
        <v/>
      </c>
      <c r="G26" s="2">
        <f>F26-C26</f>
        <v/>
      </c>
      <c r="H26" s="2">
        <f>MAX(0,C26-F25)</f>
        <v/>
      </c>
      <c r="I26" s="2">
        <f>E26-C26</f>
        <v/>
      </c>
    </row>
    <row r="27">
      <c r="A27" s="2" t="n">
        <v>26</v>
      </c>
      <c r="B27" s="3" t="n">
        <v>5</v>
      </c>
      <c r="C27" s="2">
        <f>C26+B27</f>
        <v/>
      </c>
      <c r="D27" s="3" t="n">
        <v>4</v>
      </c>
      <c r="E27" s="2">
        <f>MAX(C27,F26)</f>
        <v/>
      </c>
      <c r="F27" s="2">
        <f>E27+D27</f>
        <v/>
      </c>
      <c r="G27" s="2">
        <f>F27-C27</f>
        <v/>
      </c>
      <c r="H27" s="2">
        <f>MAX(0,C27-F26)</f>
        <v/>
      </c>
      <c r="I27" s="2">
        <f>E27-C27</f>
        <v/>
      </c>
    </row>
    <row r="28">
      <c r="A28" s="2" t="n">
        <v>27</v>
      </c>
      <c r="B28" s="3" t="n">
        <v>7</v>
      </c>
      <c r="C28" s="2">
        <f>C27+B28</f>
        <v/>
      </c>
      <c r="D28" s="3" t="n">
        <v>5</v>
      </c>
      <c r="E28" s="2">
        <f>MAX(C28,F27)</f>
        <v/>
      </c>
      <c r="F28" s="2">
        <f>E28+D28</f>
        <v/>
      </c>
      <c r="G28" s="2">
        <f>F28-C28</f>
        <v/>
      </c>
      <c r="H28" s="2">
        <f>MAX(0,C28-F27)</f>
        <v/>
      </c>
      <c r="I28" s="2">
        <f>E28-C28</f>
        <v/>
      </c>
    </row>
    <row r="29">
      <c r="A29" s="2" t="n">
        <v>28</v>
      </c>
      <c r="B29" s="3" t="n">
        <v>6</v>
      </c>
      <c r="C29" s="2">
        <f>C28+B29</f>
        <v/>
      </c>
      <c r="D29" s="3" t="n">
        <v>1</v>
      </c>
      <c r="E29" s="2">
        <f>MAX(C29,F28)</f>
        <v/>
      </c>
      <c r="F29" s="2">
        <f>E29+D29</f>
        <v/>
      </c>
      <c r="G29" s="2">
        <f>F29-C29</f>
        <v/>
      </c>
      <c r="H29" s="2">
        <f>MAX(0,C29-F28)</f>
        <v/>
      </c>
      <c r="I29" s="2">
        <f>E29-C29</f>
        <v/>
      </c>
    </row>
    <row r="30">
      <c r="A30" s="2" t="n">
        <v>29</v>
      </c>
      <c r="B30" s="3" t="n">
        <v>7</v>
      </c>
      <c r="C30" s="2">
        <f>C29+B30</f>
        <v/>
      </c>
      <c r="D30" s="3" t="n">
        <v>3</v>
      </c>
      <c r="E30" s="2">
        <f>MAX(C30,F29)</f>
        <v/>
      </c>
      <c r="F30" s="2">
        <f>E30+D30</f>
        <v/>
      </c>
      <c r="G30" s="2">
        <f>F30-C30</f>
        <v/>
      </c>
      <c r="H30" s="2">
        <f>MAX(0,C30-F29)</f>
        <v/>
      </c>
      <c r="I30" s="2">
        <f>E30-C30</f>
        <v/>
      </c>
    </row>
    <row r="31">
      <c r="A31" s="2" t="n">
        <v>30</v>
      </c>
      <c r="B31" s="3" t="n">
        <v>1</v>
      </c>
      <c r="C31" s="2">
        <f>C30+B31</f>
        <v/>
      </c>
      <c r="D31" s="3" t="n">
        <v>2</v>
      </c>
      <c r="E31" s="2">
        <f>MAX(C31,F30)</f>
        <v/>
      </c>
      <c r="F31" s="2">
        <f>E31+D31</f>
        <v/>
      </c>
      <c r="G31" s="2">
        <f>F31-C31</f>
        <v/>
      </c>
      <c r="H31" s="2">
        <f>MAX(0,C31-F30)</f>
        <v/>
      </c>
      <c r="I31" s="2">
        <f>E31-C31</f>
        <v/>
      </c>
    </row>
    <row r="32">
      <c r="A32" s="2" t="n">
        <v>31</v>
      </c>
      <c r="B32" s="3" t="n">
        <v>9</v>
      </c>
      <c r="C32" s="2">
        <f>C31+B32</f>
        <v/>
      </c>
      <c r="D32" s="3" t="n">
        <v>4</v>
      </c>
      <c r="E32" s="2">
        <f>MAX(C32,F31)</f>
        <v/>
      </c>
      <c r="F32" s="2">
        <f>E32+D32</f>
        <v/>
      </c>
      <c r="G32" s="2">
        <f>F32-C32</f>
        <v/>
      </c>
      <c r="H32" s="2">
        <f>MAX(0,C32-F31)</f>
        <v/>
      </c>
      <c r="I32" s="2">
        <f>E32-C32</f>
        <v/>
      </c>
    </row>
    <row r="33">
      <c r="A33" s="2" t="n">
        <v>32</v>
      </c>
      <c r="B33" s="3" t="n">
        <v>8</v>
      </c>
      <c r="C33" s="2">
        <f>C32+B33</f>
        <v/>
      </c>
      <c r="D33" s="3" t="n">
        <v>1</v>
      </c>
      <c r="E33" s="2">
        <f>MAX(C33,F32)</f>
        <v/>
      </c>
      <c r="F33" s="2">
        <f>E33+D33</f>
        <v/>
      </c>
      <c r="G33" s="2">
        <f>F33-C33</f>
        <v/>
      </c>
      <c r="H33" s="2">
        <f>MAX(0,C33-F32)</f>
        <v/>
      </c>
      <c r="I33" s="2">
        <f>E33-C33</f>
        <v/>
      </c>
    </row>
    <row r="34">
      <c r="A34" s="2" t="n">
        <v>33</v>
      </c>
      <c r="B34" s="3" t="n">
        <v>3</v>
      </c>
      <c r="C34" s="2">
        <f>C33+B34</f>
        <v/>
      </c>
      <c r="D34" s="3" t="n">
        <v>4</v>
      </c>
      <c r="E34" s="2">
        <f>MAX(C34,F33)</f>
        <v/>
      </c>
      <c r="F34" s="2">
        <f>E34+D34</f>
        <v/>
      </c>
      <c r="G34" s="2">
        <f>F34-C34</f>
        <v/>
      </c>
      <c r="H34" s="2">
        <f>MAX(0,C34-F33)</f>
        <v/>
      </c>
      <c r="I34" s="2">
        <f>E34-C34</f>
        <v/>
      </c>
    </row>
    <row r="35">
      <c r="A35" s="2" t="n">
        <v>34</v>
      </c>
      <c r="B35" s="3" t="n">
        <v>7</v>
      </c>
      <c r="C35" s="2">
        <f>C34+B35</f>
        <v/>
      </c>
      <c r="D35" s="3" t="n">
        <v>4</v>
      </c>
      <c r="E35" s="2">
        <f>MAX(C35,F34)</f>
        <v/>
      </c>
      <c r="F35" s="2">
        <f>E35+D35</f>
        <v/>
      </c>
      <c r="G35" s="2">
        <f>F35-C35</f>
        <v/>
      </c>
      <c r="H35" s="2">
        <f>MAX(0,C35-F34)</f>
        <v/>
      </c>
      <c r="I35" s="2">
        <f>E35-C35</f>
        <v/>
      </c>
    </row>
    <row r="36">
      <c r="A36" s="2" t="n">
        <v>35</v>
      </c>
      <c r="B36" s="3" t="n">
        <v>6</v>
      </c>
      <c r="C36" s="2">
        <f>C35+B36</f>
        <v/>
      </c>
      <c r="D36" s="3" t="n">
        <v>3</v>
      </c>
      <c r="E36" s="2">
        <f>MAX(C36,F35)</f>
        <v/>
      </c>
      <c r="F36" s="2">
        <f>E36+D36</f>
        <v/>
      </c>
      <c r="G36" s="2">
        <f>F36-C36</f>
        <v/>
      </c>
      <c r="H36" s="2">
        <f>MAX(0,C36-F35)</f>
        <v/>
      </c>
      <c r="I36" s="2">
        <f>E36-C36</f>
        <v/>
      </c>
    </row>
    <row r="37">
      <c r="A37" s="2" t="n">
        <v>36</v>
      </c>
      <c r="B37" s="3" t="n">
        <v>5</v>
      </c>
      <c r="C37" s="2">
        <f>C36+B37</f>
        <v/>
      </c>
      <c r="D37" s="3" t="n">
        <v>5</v>
      </c>
      <c r="E37" s="2">
        <f>MAX(C37,F36)</f>
        <v/>
      </c>
      <c r="F37" s="2">
        <f>E37+D37</f>
        <v/>
      </c>
      <c r="G37" s="2">
        <f>F37-C37</f>
        <v/>
      </c>
      <c r="H37" s="2">
        <f>MAX(0,C37-F36)</f>
        <v/>
      </c>
      <c r="I37" s="2">
        <f>E37-C37</f>
        <v/>
      </c>
    </row>
    <row r="38">
      <c r="A38" s="2" t="n">
        <v>37</v>
      </c>
      <c r="B38" s="3" t="n">
        <v>8</v>
      </c>
      <c r="C38" s="2">
        <f>C37+B38</f>
        <v/>
      </c>
      <c r="D38" s="3" t="n">
        <v>3</v>
      </c>
      <c r="E38" s="2">
        <f>MAX(C38,F37)</f>
        <v/>
      </c>
      <c r="F38" s="2">
        <f>E38+D38</f>
        <v/>
      </c>
      <c r="G38" s="2">
        <f>F38-C38</f>
        <v/>
      </c>
      <c r="H38" s="2">
        <f>MAX(0,C38-F37)</f>
        <v/>
      </c>
      <c r="I38" s="2">
        <f>E38-C38</f>
        <v/>
      </c>
    </row>
    <row r="39">
      <c r="A39" s="2" t="n">
        <v>38</v>
      </c>
      <c r="B39" s="3" t="n">
        <v>1</v>
      </c>
      <c r="C39" s="2">
        <f>C38+B39</f>
        <v/>
      </c>
      <c r="D39" s="3" t="n">
        <v>2</v>
      </c>
      <c r="E39" s="2">
        <f>MAX(C39,F38)</f>
        <v/>
      </c>
      <c r="F39" s="2">
        <f>E39+D39</f>
        <v/>
      </c>
      <c r="G39" s="2">
        <f>F39-C39</f>
        <v/>
      </c>
      <c r="H39" s="2">
        <f>MAX(0,C39-F38)</f>
        <v/>
      </c>
      <c r="I39" s="2">
        <f>E39-C39</f>
        <v/>
      </c>
    </row>
    <row r="40">
      <c r="A40" s="2" t="n">
        <v>39</v>
      </c>
      <c r="B40" s="3" t="n">
        <v>1</v>
      </c>
      <c r="C40" s="2">
        <f>C39+B40</f>
        <v/>
      </c>
      <c r="D40" s="3" t="n">
        <v>1</v>
      </c>
      <c r="E40" s="2">
        <f>MAX(C40,F39)</f>
        <v/>
      </c>
      <c r="F40" s="2">
        <f>E40+D40</f>
        <v/>
      </c>
      <c r="G40" s="2">
        <f>F40-C40</f>
        <v/>
      </c>
      <c r="H40" s="2">
        <f>MAX(0,C40-F39)</f>
        <v/>
      </c>
      <c r="I40" s="2">
        <f>E40-C40</f>
        <v/>
      </c>
    </row>
    <row r="41">
      <c r="A41" s="2" t="n">
        <v>40</v>
      </c>
      <c r="B41" s="3" t="n">
        <v>5</v>
      </c>
      <c r="C41" s="2">
        <f>C40+B41</f>
        <v/>
      </c>
      <c r="D41" s="3" t="n">
        <v>4</v>
      </c>
      <c r="E41" s="2">
        <f>MAX(C41,F40)</f>
        <v/>
      </c>
      <c r="F41" s="2">
        <f>E41+D41</f>
        <v/>
      </c>
      <c r="G41" s="2">
        <f>F41-C41</f>
        <v/>
      </c>
      <c r="H41" s="2">
        <f>MAX(0,C41-F40)</f>
        <v/>
      </c>
      <c r="I41" s="2">
        <f>E41-C41</f>
        <v/>
      </c>
    </row>
    <row r="42">
      <c r="A42" s="2" t="n">
        <v>41</v>
      </c>
      <c r="B42" s="3" t="n">
        <v>3</v>
      </c>
      <c r="C42" s="2">
        <f>C41+B42</f>
        <v/>
      </c>
      <c r="D42" s="3" t="n">
        <v>5</v>
      </c>
      <c r="E42" s="2">
        <f>MAX(C42,F41)</f>
        <v/>
      </c>
      <c r="F42" s="2">
        <f>E42+D42</f>
        <v/>
      </c>
      <c r="G42" s="2">
        <f>F42-C42</f>
        <v/>
      </c>
      <c r="H42" s="2">
        <f>MAX(0,C42-F41)</f>
        <v/>
      </c>
      <c r="I42" s="2">
        <f>E42-C42</f>
        <v/>
      </c>
    </row>
    <row r="43">
      <c r="A43" s="2" t="n">
        <v>42</v>
      </c>
      <c r="B43" s="3" t="n">
        <v>1</v>
      </c>
      <c r="C43" s="2">
        <f>C42+B43</f>
        <v/>
      </c>
      <c r="D43" s="3" t="n">
        <v>4</v>
      </c>
      <c r="E43" s="2">
        <f>MAX(C43,F42)</f>
        <v/>
      </c>
      <c r="F43" s="2">
        <f>E43+D43</f>
        <v/>
      </c>
      <c r="G43" s="2">
        <f>F43-C43</f>
        <v/>
      </c>
      <c r="H43" s="2">
        <f>MAX(0,C43-F42)</f>
        <v/>
      </c>
      <c r="I43" s="2">
        <f>E43-C43</f>
        <v/>
      </c>
    </row>
    <row r="44">
      <c r="A44" s="2" t="n">
        <v>43</v>
      </c>
      <c r="B44" s="3" t="n">
        <v>9</v>
      </c>
      <c r="C44" s="2">
        <f>C43+B44</f>
        <v/>
      </c>
      <c r="D44" s="3" t="n">
        <v>4</v>
      </c>
      <c r="E44" s="2">
        <f>MAX(C44,F43)</f>
        <v/>
      </c>
      <c r="F44" s="2">
        <f>E44+D44</f>
        <v/>
      </c>
      <c r="G44" s="2">
        <f>F44-C44</f>
        <v/>
      </c>
      <c r="H44" s="2">
        <f>MAX(0,C44-F43)</f>
        <v/>
      </c>
      <c r="I44" s="2">
        <f>E44-C44</f>
        <v/>
      </c>
    </row>
    <row r="45">
      <c r="A45" s="2" t="n">
        <v>44</v>
      </c>
      <c r="B45" s="3" t="n">
        <v>9</v>
      </c>
      <c r="C45" s="2">
        <f>C44+B45</f>
        <v/>
      </c>
      <c r="D45" s="3" t="n">
        <v>3</v>
      </c>
      <c r="E45" s="2">
        <f>MAX(C45,F44)</f>
        <v/>
      </c>
      <c r="F45" s="2">
        <f>E45+D45</f>
        <v/>
      </c>
      <c r="G45" s="2">
        <f>F45-C45</f>
        <v/>
      </c>
      <c r="H45" s="2">
        <f>MAX(0,C45-F44)</f>
        <v/>
      </c>
      <c r="I45" s="2">
        <f>E45-C45</f>
        <v/>
      </c>
    </row>
    <row r="46">
      <c r="A46" s="2" t="n">
        <v>45</v>
      </c>
      <c r="B46" s="3" t="n">
        <v>3</v>
      </c>
      <c r="C46" s="2">
        <f>C45+B46</f>
        <v/>
      </c>
      <c r="D46" s="3" t="n">
        <v>5</v>
      </c>
      <c r="E46" s="2">
        <f>MAX(C46,F45)</f>
        <v/>
      </c>
      <c r="F46" s="2">
        <f>E46+D46</f>
        <v/>
      </c>
      <c r="G46" s="2">
        <f>F46-C46</f>
        <v/>
      </c>
      <c r="H46" s="2">
        <f>MAX(0,C46-F45)</f>
        <v/>
      </c>
      <c r="I46" s="2">
        <f>E46-C46</f>
        <v/>
      </c>
    </row>
    <row r="47">
      <c r="A47" s="2" t="n">
        <v>46</v>
      </c>
      <c r="B47" s="3" t="n">
        <v>2</v>
      </c>
      <c r="C47" s="2">
        <f>C46+B47</f>
        <v/>
      </c>
      <c r="D47" s="3" t="n">
        <v>3</v>
      </c>
      <c r="E47" s="2">
        <f>MAX(C47,F46)</f>
        <v/>
      </c>
      <c r="F47" s="2">
        <f>E47+D47</f>
        <v/>
      </c>
      <c r="G47" s="2">
        <f>F47-C47</f>
        <v/>
      </c>
      <c r="H47" s="2">
        <f>MAX(0,C47-F46)</f>
        <v/>
      </c>
      <c r="I47" s="2">
        <f>E47-C47</f>
        <v/>
      </c>
    </row>
    <row r="48">
      <c r="A48" s="2" t="n">
        <v>47</v>
      </c>
      <c r="B48" s="3" t="n">
        <v>3</v>
      </c>
      <c r="C48" s="2">
        <f>C47+B48</f>
        <v/>
      </c>
      <c r="D48" s="3" t="n">
        <v>2</v>
      </c>
      <c r="E48" s="2">
        <f>MAX(C48,F47)</f>
        <v/>
      </c>
      <c r="F48" s="2">
        <f>E48+D48</f>
        <v/>
      </c>
      <c r="G48" s="2">
        <f>F48-C48</f>
        <v/>
      </c>
      <c r="H48" s="2">
        <f>MAX(0,C48-F47)</f>
        <v/>
      </c>
      <c r="I48" s="2">
        <f>E48-C48</f>
        <v/>
      </c>
    </row>
    <row r="49">
      <c r="A49" s="2" t="n">
        <v>48</v>
      </c>
      <c r="B49" s="3" t="n">
        <v>6</v>
      </c>
      <c r="C49" s="2">
        <f>C48+B49</f>
        <v/>
      </c>
      <c r="D49" s="3" t="n">
        <v>2</v>
      </c>
      <c r="E49" s="2">
        <f>MAX(C49,F48)</f>
        <v/>
      </c>
      <c r="F49" s="2">
        <f>E49+D49</f>
        <v/>
      </c>
      <c r="G49" s="2">
        <f>F49-C49</f>
        <v/>
      </c>
      <c r="H49" s="2">
        <f>MAX(0,C49-F48)</f>
        <v/>
      </c>
      <c r="I49" s="2">
        <f>E49-C49</f>
        <v/>
      </c>
    </row>
    <row r="50">
      <c r="A50" s="2" t="n">
        <v>49</v>
      </c>
      <c r="B50" s="3" t="n">
        <v>5</v>
      </c>
      <c r="C50" s="2">
        <f>C49+B50</f>
        <v/>
      </c>
      <c r="D50" s="3" t="n">
        <v>4</v>
      </c>
      <c r="E50" s="2">
        <f>MAX(C50,F49)</f>
        <v/>
      </c>
      <c r="F50" s="2">
        <f>E50+D50</f>
        <v/>
      </c>
      <c r="G50" s="2">
        <f>F50-C50</f>
        <v/>
      </c>
      <c r="H50" s="2">
        <f>MAX(0,C50-F49)</f>
        <v/>
      </c>
      <c r="I50" s="2">
        <f>E50-C50</f>
        <v/>
      </c>
    </row>
    <row r="51">
      <c r="A51" s="2" t="n">
        <v>50</v>
      </c>
      <c r="B51" s="3" t="n">
        <v>1</v>
      </c>
      <c r="C51" s="2">
        <f>C50+B51</f>
        <v/>
      </c>
      <c r="D51" s="3" t="n">
        <v>4</v>
      </c>
      <c r="E51" s="2">
        <f>MAX(C51,F50)</f>
        <v/>
      </c>
      <c r="F51" s="2">
        <f>E51+D51</f>
        <v/>
      </c>
      <c r="G51" s="2">
        <f>F51-C51</f>
        <v/>
      </c>
      <c r="H51" s="2">
        <f>MAX(0,C51-F50)</f>
        <v/>
      </c>
      <c r="I51" s="2">
        <f>E51-C51</f>
        <v/>
      </c>
    </row>
    <row r="52">
      <c r="A52" s="2" t="n">
        <v>51</v>
      </c>
      <c r="B52" s="3" t="n">
        <v>9</v>
      </c>
      <c r="C52" s="2">
        <f>C51+B52</f>
        <v/>
      </c>
      <c r="D52" s="3" t="n">
        <v>1</v>
      </c>
      <c r="E52" s="2">
        <f>MAX(C52,F51)</f>
        <v/>
      </c>
      <c r="F52" s="2">
        <f>E52+D52</f>
        <v/>
      </c>
      <c r="G52" s="2">
        <f>F52-C52</f>
        <v/>
      </c>
      <c r="H52" s="2">
        <f>MAX(0,C52-F51)</f>
        <v/>
      </c>
      <c r="I52" s="2">
        <f>E52-C52</f>
        <v/>
      </c>
    </row>
    <row r="53">
      <c r="A53" s="2" t="n">
        <v>52</v>
      </c>
      <c r="B53" s="3" t="n">
        <v>7</v>
      </c>
      <c r="C53" s="2">
        <f>C52+B53</f>
        <v/>
      </c>
      <c r="D53" s="3" t="n">
        <v>2</v>
      </c>
      <c r="E53" s="2">
        <f>MAX(C53,F52)</f>
        <v/>
      </c>
      <c r="F53" s="2">
        <f>E53+D53</f>
        <v/>
      </c>
      <c r="G53" s="2">
        <f>F53-C53</f>
        <v/>
      </c>
      <c r="H53" s="2">
        <f>MAX(0,C53-F52)</f>
        <v/>
      </c>
      <c r="I53" s="2">
        <f>E53-C53</f>
        <v/>
      </c>
    </row>
    <row r="54">
      <c r="A54" s="2" t="n">
        <v>53</v>
      </c>
      <c r="B54" s="3" t="n">
        <v>9</v>
      </c>
      <c r="C54" s="2">
        <f>C53+B54</f>
        <v/>
      </c>
      <c r="D54" s="3" t="n">
        <v>2</v>
      </c>
      <c r="E54" s="2">
        <f>MAX(C54,F53)</f>
        <v/>
      </c>
      <c r="F54" s="2">
        <f>E54+D54</f>
        <v/>
      </c>
      <c r="G54" s="2">
        <f>F54-C54</f>
        <v/>
      </c>
      <c r="H54" s="2">
        <f>MAX(0,C54-F53)</f>
        <v/>
      </c>
      <c r="I54" s="2">
        <f>E54-C54</f>
        <v/>
      </c>
    </row>
    <row r="55">
      <c r="A55" s="2" t="n">
        <v>54</v>
      </c>
      <c r="B55" s="3" t="n">
        <v>7</v>
      </c>
      <c r="C55" s="2">
        <f>C54+B55</f>
        <v/>
      </c>
      <c r="D55" s="3" t="n">
        <v>3</v>
      </c>
      <c r="E55" s="2">
        <f>MAX(C55,F54)</f>
        <v/>
      </c>
      <c r="F55" s="2">
        <f>E55+D55</f>
        <v/>
      </c>
      <c r="G55" s="2">
        <f>F55-C55</f>
        <v/>
      </c>
      <c r="H55" s="2">
        <f>MAX(0,C55-F54)</f>
        <v/>
      </c>
      <c r="I55" s="2">
        <f>E55-C55</f>
        <v/>
      </c>
    </row>
    <row r="56">
      <c r="A56" s="2" t="n">
        <v>55</v>
      </c>
      <c r="B56" s="3" t="n">
        <v>7</v>
      </c>
      <c r="C56" s="2">
        <f>C55+B56</f>
        <v/>
      </c>
      <c r="D56" s="3" t="n">
        <v>2</v>
      </c>
      <c r="E56" s="2">
        <f>MAX(C56,F55)</f>
        <v/>
      </c>
      <c r="F56" s="2">
        <f>E56+D56</f>
        <v/>
      </c>
      <c r="G56" s="2">
        <f>F56-C56</f>
        <v/>
      </c>
      <c r="H56" s="2">
        <f>MAX(0,C56-F55)</f>
        <v/>
      </c>
      <c r="I56" s="2">
        <f>E56-C56</f>
        <v/>
      </c>
    </row>
    <row r="57">
      <c r="A57" s="2" t="n">
        <v>56</v>
      </c>
      <c r="B57" s="3" t="n">
        <v>2</v>
      </c>
      <c r="C57" s="2">
        <f>C56+B57</f>
        <v/>
      </c>
      <c r="D57" s="3" t="n">
        <v>4</v>
      </c>
      <c r="E57" s="2">
        <f>MAX(C57,F56)</f>
        <v/>
      </c>
      <c r="F57" s="2">
        <f>E57+D57</f>
        <v/>
      </c>
      <c r="G57" s="2">
        <f>F57-C57</f>
        <v/>
      </c>
      <c r="H57" s="2">
        <f>MAX(0,C57-F56)</f>
        <v/>
      </c>
      <c r="I57" s="2">
        <f>E57-C57</f>
        <v/>
      </c>
    </row>
    <row r="58">
      <c r="A58" s="2" t="n">
        <v>57</v>
      </c>
      <c r="B58" s="3" t="n">
        <v>8</v>
      </c>
      <c r="C58" s="2">
        <f>C57+B58</f>
        <v/>
      </c>
      <c r="D58" s="3" t="n">
        <v>2</v>
      </c>
      <c r="E58" s="2">
        <f>MAX(C58,F57)</f>
        <v/>
      </c>
      <c r="F58" s="2">
        <f>E58+D58</f>
        <v/>
      </c>
      <c r="G58" s="2">
        <f>F58-C58</f>
        <v/>
      </c>
      <c r="H58" s="2">
        <f>MAX(0,C58-F57)</f>
        <v/>
      </c>
      <c r="I58" s="2">
        <f>E58-C58</f>
        <v/>
      </c>
    </row>
    <row r="59">
      <c r="A59" s="2" t="n">
        <v>58</v>
      </c>
      <c r="B59" s="3" t="n">
        <v>2</v>
      </c>
      <c r="C59" s="2">
        <f>C58+B59</f>
        <v/>
      </c>
      <c r="D59" s="3" t="n">
        <v>6</v>
      </c>
      <c r="E59" s="2">
        <f>MAX(C59,F58)</f>
        <v/>
      </c>
      <c r="F59" s="2">
        <f>E59+D59</f>
        <v/>
      </c>
      <c r="G59" s="2">
        <f>F59-C59</f>
        <v/>
      </c>
      <c r="H59" s="2">
        <f>MAX(0,C59-F58)</f>
        <v/>
      </c>
      <c r="I59" s="2">
        <f>E59-C59</f>
        <v/>
      </c>
    </row>
    <row r="60">
      <c r="A60" s="2" t="n">
        <v>59</v>
      </c>
      <c r="B60" s="3" t="n">
        <v>3</v>
      </c>
      <c r="C60" s="2">
        <f>C59+B60</f>
        <v/>
      </c>
      <c r="D60" s="3" t="n">
        <v>5</v>
      </c>
      <c r="E60" s="2">
        <f>MAX(C60,F59)</f>
        <v/>
      </c>
      <c r="F60" s="2">
        <f>E60+D60</f>
        <v/>
      </c>
      <c r="G60" s="2">
        <f>F60-C60</f>
        <v/>
      </c>
      <c r="H60" s="2">
        <f>MAX(0,C60-F59)</f>
        <v/>
      </c>
      <c r="I60" s="2">
        <f>E60-C60</f>
        <v/>
      </c>
    </row>
    <row r="61">
      <c r="A61" s="2" t="n">
        <v>60</v>
      </c>
      <c r="B61" s="3" t="n">
        <v>7</v>
      </c>
      <c r="C61" s="2">
        <f>C60+B61</f>
        <v/>
      </c>
      <c r="D61" s="3" t="n">
        <v>3</v>
      </c>
      <c r="E61" s="2">
        <f>MAX(C61,F60)</f>
        <v/>
      </c>
      <c r="F61" s="2">
        <f>E61+D61</f>
        <v/>
      </c>
      <c r="G61" s="2">
        <f>F61-C61</f>
        <v/>
      </c>
      <c r="H61" s="2">
        <f>MAX(0,C61-F60)</f>
        <v/>
      </c>
      <c r="I61" s="2">
        <f>E61-C61</f>
        <v/>
      </c>
    </row>
    <row r="62">
      <c r="A62" s="2" t="n">
        <v>61</v>
      </c>
      <c r="B62" s="3" t="n">
        <v>5</v>
      </c>
      <c r="C62" s="2">
        <f>C61+B62</f>
        <v/>
      </c>
      <c r="D62" s="3" t="n">
        <v>4</v>
      </c>
      <c r="E62" s="2">
        <f>MAX(C62,F61)</f>
        <v/>
      </c>
      <c r="F62" s="2">
        <f>E62+D62</f>
        <v/>
      </c>
      <c r="G62" s="2">
        <f>F62-C62</f>
        <v/>
      </c>
      <c r="H62" s="2">
        <f>MAX(0,C62-F61)</f>
        <v/>
      </c>
      <c r="I62" s="2">
        <f>E62-C62</f>
        <v/>
      </c>
    </row>
    <row r="63">
      <c r="A63" s="2" t="n">
        <v>62</v>
      </c>
      <c r="B63" s="3" t="n">
        <v>4</v>
      </c>
      <c r="C63" s="2">
        <f>C62+B63</f>
        <v/>
      </c>
      <c r="D63" s="3" t="n">
        <v>6</v>
      </c>
      <c r="E63" s="2">
        <f>MAX(C63,F62)</f>
        <v/>
      </c>
      <c r="F63" s="2">
        <f>E63+D63</f>
        <v/>
      </c>
      <c r="G63" s="2">
        <f>F63-C63</f>
        <v/>
      </c>
      <c r="H63" s="2">
        <f>MAX(0,C63-F62)</f>
        <v/>
      </c>
      <c r="I63" s="2">
        <f>E63-C63</f>
        <v/>
      </c>
    </row>
    <row r="64">
      <c r="A64" s="2" t="n">
        <v>63</v>
      </c>
      <c r="B64" s="3" t="n">
        <v>6</v>
      </c>
      <c r="C64" s="2">
        <f>C63+B64</f>
        <v/>
      </c>
      <c r="D64" s="3" t="n">
        <v>2</v>
      </c>
      <c r="E64" s="2">
        <f>MAX(C64,F63)</f>
        <v/>
      </c>
      <c r="F64" s="2">
        <f>E64+D64</f>
        <v/>
      </c>
      <c r="G64" s="2">
        <f>F64-C64</f>
        <v/>
      </c>
      <c r="H64" s="2">
        <f>MAX(0,C64-F63)</f>
        <v/>
      </c>
      <c r="I64" s="2">
        <f>E64-C64</f>
        <v/>
      </c>
    </row>
    <row r="65">
      <c r="A65" s="2" t="n">
        <v>64</v>
      </c>
      <c r="B65" s="3" t="n">
        <v>1</v>
      </c>
      <c r="C65" s="2">
        <f>C64+B65</f>
        <v/>
      </c>
      <c r="D65" s="3" t="n">
        <v>3</v>
      </c>
      <c r="E65" s="2">
        <f>MAX(C65,F64)</f>
        <v/>
      </c>
      <c r="F65" s="2">
        <f>E65+D65</f>
        <v/>
      </c>
      <c r="G65" s="2">
        <f>F65-C65</f>
        <v/>
      </c>
      <c r="H65" s="2">
        <f>MAX(0,C65-F64)</f>
        <v/>
      </c>
      <c r="I65" s="2">
        <f>E65-C65</f>
        <v/>
      </c>
    </row>
    <row r="66">
      <c r="A66" s="2" t="n">
        <v>65</v>
      </c>
      <c r="B66" s="3" t="n">
        <v>4</v>
      </c>
      <c r="C66" s="2">
        <f>C65+B66</f>
        <v/>
      </c>
      <c r="D66" s="3" t="n">
        <v>2</v>
      </c>
      <c r="E66" s="2">
        <f>MAX(C66,F65)</f>
        <v/>
      </c>
      <c r="F66" s="2">
        <f>E66+D66</f>
        <v/>
      </c>
      <c r="G66" s="2">
        <f>F66-C66</f>
        <v/>
      </c>
      <c r="H66" s="2">
        <f>MAX(0,C66-F65)</f>
        <v/>
      </c>
      <c r="I66" s="2">
        <f>E66-C66</f>
        <v/>
      </c>
    </row>
    <row r="67">
      <c r="A67" s="2" t="n">
        <v>66</v>
      </c>
      <c r="B67" s="3" t="n">
        <v>10</v>
      </c>
      <c r="C67" s="2">
        <f>C66+B67</f>
        <v/>
      </c>
      <c r="D67" s="3" t="n">
        <v>1</v>
      </c>
      <c r="E67" s="2">
        <f>MAX(C67,F66)</f>
        <v/>
      </c>
      <c r="F67" s="2">
        <f>E67+D67</f>
        <v/>
      </c>
      <c r="G67" s="2">
        <f>F67-C67</f>
        <v/>
      </c>
      <c r="H67" s="2">
        <f>MAX(0,C67-F66)</f>
        <v/>
      </c>
      <c r="I67" s="2">
        <f>E67-C67</f>
        <v/>
      </c>
    </row>
    <row r="68">
      <c r="A68" s="2" t="n">
        <v>67</v>
      </c>
      <c r="B68" s="3" t="n">
        <v>6</v>
      </c>
      <c r="C68" s="2">
        <f>C67+B68</f>
        <v/>
      </c>
      <c r="D68" s="3" t="n">
        <v>1</v>
      </c>
      <c r="E68" s="2">
        <f>MAX(C68,F67)</f>
        <v/>
      </c>
      <c r="F68" s="2">
        <f>E68+D68</f>
        <v/>
      </c>
      <c r="G68" s="2">
        <f>F68-C68</f>
        <v/>
      </c>
      <c r="H68" s="2">
        <f>MAX(0,C68-F67)</f>
        <v/>
      </c>
      <c r="I68" s="2">
        <f>E68-C68</f>
        <v/>
      </c>
    </row>
    <row r="69">
      <c r="A69" s="2" t="n">
        <v>68</v>
      </c>
      <c r="B69" s="3" t="n">
        <v>7</v>
      </c>
      <c r="C69" s="2">
        <f>C68+B69</f>
        <v/>
      </c>
      <c r="D69" s="3" t="n">
        <v>4</v>
      </c>
      <c r="E69" s="2">
        <f>MAX(C69,F68)</f>
        <v/>
      </c>
      <c r="F69" s="2">
        <f>E69+D69</f>
        <v/>
      </c>
      <c r="G69" s="2">
        <f>F69-C69</f>
        <v/>
      </c>
      <c r="H69" s="2">
        <f>MAX(0,C69-F68)</f>
        <v/>
      </c>
      <c r="I69" s="2">
        <f>E69-C69</f>
        <v/>
      </c>
    </row>
    <row r="70">
      <c r="A70" s="2" t="n">
        <v>69</v>
      </c>
      <c r="B70" s="3" t="n">
        <v>4</v>
      </c>
      <c r="C70" s="2">
        <f>C69+B70</f>
        <v/>
      </c>
      <c r="D70" s="3" t="n">
        <v>2</v>
      </c>
      <c r="E70" s="2">
        <f>MAX(C70,F69)</f>
        <v/>
      </c>
      <c r="F70" s="2">
        <f>E70+D70</f>
        <v/>
      </c>
      <c r="G70" s="2">
        <f>F70-C70</f>
        <v/>
      </c>
      <c r="H70" s="2">
        <f>MAX(0,C70-F69)</f>
        <v/>
      </c>
      <c r="I70" s="2">
        <f>E70-C70</f>
        <v/>
      </c>
    </row>
    <row r="71">
      <c r="A71" s="2" t="n">
        <v>70</v>
      </c>
      <c r="B71" s="3" t="n">
        <v>7</v>
      </c>
      <c r="C71" s="2">
        <f>C70+B71</f>
        <v/>
      </c>
      <c r="D71" s="3" t="n">
        <v>3</v>
      </c>
      <c r="E71" s="2">
        <f>MAX(C71,F70)</f>
        <v/>
      </c>
      <c r="F71" s="2">
        <f>E71+D71</f>
        <v/>
      </c>
      <c r="G71" s="2">
        <f>F71-C71</f>
        <v/>
      </c>
      <c r="H71" s="2">
        <f>MAX(0,C71-F70)</f>
        <v/>
      </c>
      <c r="I71" s="2">
        <f>E71-C71</f>
        <v/>
      </c>
    </row>
    <row r="72">
      <c r="A72" s="2" t="n">
        <v>71</v>
      </c>
      <c r="B72" s="3" t="n">
        <v>3</v>
      </c>
      <c r="C72" s="2">
        <f>C71+B72</f>
        <v/>
      </c>
      <c r="D72" s="3" t="n">
        <v>6</v>
      </c>
      <c r="E72" s="2">
        <f>MAX(C72,F71)</f>
        <v/>
      </c>
      <c r="F72" s="2">
        <f>E72+D72</f>
        <v/>
      </c>
      <c r="G72" s="2">
        <f>F72-C72</f>
        <v/>
      </c>
      <c r="H72" s="2">
        <f>MAX(0,C72-F71)</f>
        <v/>
      </c>
      <c r="I72" s="2">
        <f>E72-C72</f>
        <v/>
      </c>
    </row>
    <row r="73">
      <c r="A73" s="2" t="n">
        <v>72</v>
      </c>
      <c r="B73" s="3" t="n">
        <v>8</v>
      </c>
      <c r="C73" s="2">
        <f>C72+B73</f>
        <v/>
      </c>
      <c r="D73" s="3" t="n">
        <v>3</v>
      </c>
      <c r="E73" s="2">
        <f>MAX(C73,F72)</f>
        <v/>
      </c>
      <c r="F73" s="2">
        <f>E73+D73</f>
        <v/>
      </c>
      <c r="G73" s="2">
        <f>F73-C73</f>
        <v/>
      </c>
      <c r="H73" s="2">
        <f>MAX(0,C73-F72)</f>
        <v/>
      </c>
      <c r="I73" s="2">
        <f>E73-C73</f>
        <v/>
      </c>
    </row>
    <row r="74">
      <c r="A74" s="2" t="n">
        <v>73</v>
      </c>
      <c r="B74" s="3" t="n">
        <v>6</v>
      </c>
      <c r="C74" s="2">
        <f>C73+B74</f>
        <v/>
      </c>
      <c r="D74" s="3" t="n">
        <v>2</v>
      </c>
      <c r="E74" s="2">
        <f>MAX(C74,F73)</f>
        <v/>
      </c>
      <c r="F74" s="2">
        <f>E74+D74</f>
        <v/>
      </c>
      <c r="G74" s="2">
        <f>F74-C74</f>
        <v/>
      </c>
      <c r="H74" s="2">
        <f>MAX(0,C74-F73)</f>
        <v/>
      </c>
      <c r="I74" s="2">
        <f>E74-C74</f>
        <v/>
      </c>
    </row>
    <row r="75">
      <c r="A75" s="2" t="n">
        <v>74</v>
      </c>
      <c r="B75" s="3" t="n">
        <v>6</v>
      </c>
      <c r="C75" s="2">
        <f>C74+B75</f>
        <v/>
      </c>
      <c r="D75" s="3" t="n">
        <v>5</v>
      </c>
      <c r="E75" s="2">
        <f>MAX(C75,F74)</f>
        <v/>
      </c>
      <c r="F75" s="2">
        <f>E75+D75</f>
        <v/>
      </c>
      <c r="G75" s="2">
        <f>F75-C75</f>
        <v/>
      </c>
      <c r="H75" s="2">
        <f>MAX(0,C75-F74)</f>
        <v/>
      </c>
      <c r="I75" s="2">
        <f>E75-C75</f>
        <v/>
      </c>
    </row>
    <row r="76">
      <c r="A76" s="2" t="n">
        <v>75</v>
      </c>
      <c r="B76" s="3" t="n">
        <v>9</v>
      </c>
      <c r="C76" s="2">
        <f>C75+B76</f>
        <v/>
      </c>
      <c r="D76" s="3" t="n">
        <v>4</v>
      </c>
      <c r="E76" s="2">
        <f>MAX(C76,F75)</f>
        <v/>
      </c>
      <c r="F76" s="2">
        <f>E76+D76</f>
        <v/>
      </c>
      <c r="G76" s="2">
        <f>F76-C76</f>
        <v/>
      </c>
      <c r="H76" s="2">
        <f>MAX(0,C76-F75)</f>
        <v/>
      </c>
      <c r="I76" s="2">
        <f>E76-C76</f>
        <v/>
      </c>
    </row>
    <row r="77">
      <c r="A77" s="2" t="n">
        <v>76</v>
      </c>
      <c r="B77" s="3" t="n">
        <v>1</v>
      </c>
      <c r="C77" s="2">
        <f>C76+B77</f>
        <v/>
      </c>
      <c r="D77" s="3" t="n">
        <v>1</v>
      </c>
      <c r="E77" s="2">
        <f>MAX(C77,F76)</f>
        <v/>
      </c>
      <c r="F77" s="2">
        <f>E77+D77</f>
        <v/>
      </c>
      <c r="G77" s="2">
        <f>F77-C77</f>
        <v/>
      </c>
      <c r="H77" s="2">
        <f>MAX(0,C77-F76)</f>
        <v/>
      </c>
      <c r="I77" s="2">
        <f>E77-C77</f>
        <v/>
      </c>
    </row>
    <row r="78">
      <c r="A78" s="2" t="n">
        <v>77</v>
      </c>
      <c r="B78" s="3" t="n">
        <v>1</v>
      </c>
      <c r="C78" s="2">
        <f>C77+B78</f>
        <v/>
      </c>
      <c r="D78" s="3" t="n">
        <v>2</v>
      </c>
      <c r="E78" s="2">
        <f>MAX(C78,F77)</f>
        <v/>
      </c>
      <c r="F78" s="2">
        <f>E78+D78</f>
        <v/>
      </c>
      <c r="G78" s="2">
        <f>F78-C78</f>
        <v/>
      </c>
      <c r="H78" s="2">
        <f>MAX(0,C78-F77)</f>
        <v/>
      </c>
      <c r="I78" s="2">
        <f>E78-C78</f>
        <v/>
      </c>
    </row>
    <row r="79">
      <c r="A79" s="2" t="n">
        <v>78</v>
      </c>
      <c r="B79" s="3" t="n">
        <v>2</v>
      </c>
      <c r="C79" s="2">
        <f>C78+B79</f>
        <v/>
      </c>
      <c r="D79" s="3" t="n">
        <v>1</v>
      </c>
      <c r="E79" s="2">
        <f>MAX(C79,F78)</f>
        <v/>
      </c>
      <c r="F79" s="2">
        <f>E79+D79</f>
        <v/>
      </c>
      <c r="G79" s="2">
        <f>F79-C79</f>
        <v/>
      </c>
      <c r="H79" s="2">
        <f>MAX(0,C79-F78)</f>
        <v/>
      </c>
      <c r="I79" s="2">
        <f>E79-C79</f>
        <v/>
      </c>
    </row>
    <row r="80">
      <c r="A80" s="2" t="n">
        <v>79</v>
      </c>
      <c r="B80" s="3" t="n">
        <v>5</v>
      </c>
      <c r="C80" s="2">
        <f>C79+B80</f>
        <v/>
      </c>
      <c r="D80" s="3" t="n">
        <v>3</v>
      </c>
      <c r="E80" s="2">
        <f>MAX(C80,F79)</f>
        <v/>
      </c>
      <c r="F80" s="2">
        <f>E80+D80</f>
        <v/>
      </c>
      <c r="G80" s="2">
        <f>F80-C80</f>
        <v/>
      </c>
      <c r="H80" s="2">
        <f>MAX(0,C80-F79)</f>
        <v/>
      </c>
      <c r="I80" s="2">
        <f>E80-C80</f>
        <v/>
      </c>
    </row>
    <row r="81">
      <c r="A81" s="2" t="n">
        <v>80</v>
      </c>
      <c r="B81" s="3" t="n">
        <v>8</v>
      </c>
      <c r="C81" s="2">
        <f>C80+B81</f>
        <v/>
      </c>
      <c r="D81" s="3" t="n">
        <v>1</v>
      </c>
      <c r="E81" s="2">
        <f>MAX(C81,F80)</f>
        <v/>
      </c>
      <c r="F81" s="2">
        <f>E81+D81</f>
        <v/>
      </c>
      <c r="G81" s="2">
        <f>F81-C81</f>
        <v/>
      </c>
      <c r="H81" s="2">
        <f>MAX(0,C81-F80)</f>
        <v/>
      </c>
      <c r="I81" s="2">
        <f>E81-C81</f>
        <v/>
      </c>
    </row>
    <row r="82">
      <c r="A82" s="2" t="n">
        <v>81</v>
      </c>
      <c r="B82" s="3" t="n">
        <v>5</v>
      </c>
      <c r="C82" s="2">
        <f>C81+B82</f>
        <v/>
      </c>
      <c r="D82" s="3" t="n">
        <v>4</v>
      </c>
      <c r="E82" s="2">
        <f>MAX(C82,F81)</f>
        <v/>
      </c>
      <c r="F82" s="2">
        <f>E82+D82</f>
        <v/>
      </c>
      <c r="G82" s="2">
        <f>F82-C82</f>
        <v/>
      </c>
      <c r="H82" s="2">
        <f>MAX(0,C82-F81)</f>
        <v/>
      </c>
      <c r="I82" s="2">
        <f>E82-C82</f>
        <v/>
      </c>
    </row>
    <row r="83">
      <c r="A83" s="2" t="n">
        <v>82</v>
      </c>
      <c r="B83" s="3" t="n">
        <v>9</v>
      </c>
      <c r="C83" s="2">
        <f>C82+B83</f>
        <v/>
      </c>
      <c r="D83" s="3" t="n">
        <v>6</v>
      </c>
      <c r="E83" s="2">
        <f>MAX(C83,F82)</f>
        <v/>
      </c>
      <c r="F83" s="2">
        <f>E83+D83</f>
        <v/>
      </c>
      <c r="G83" s="2">
        <f>F83-C83</f>
        <v/>
      </c>
      <c r="H83" s="2">
        <f>MAX(0,C83-F82)</f>
        <v/>
      </c>
      <c r="I83" s="2">
        <f>E83-C83</f>
        <v/>
      </c>
    </row>
    <row r="84">
      <c r="A84" s="2" t="n">
        <v>83</v>
      </c>
      <c r="B84" s="3" t="n">
        <v>7</v>
      </c>
      <c r="C84" s="2">
        <f>C83+B84</f>
        <v/>
      </c>
      <c r="D84" s="3" t="n">
        <v>5</v>
      </c>
      <c r="E84" s="2">
        <f>MAX(C84,F83)</f>
        <v/>
      </c>
      <c r="F84" s="2">
        <f>E84+D84</f>
        <v/>
      </c>
      <c r="G84" s="2">
        <f>F84-C84</f>
        <v/>
      </c>
      <c r="H84" s="2">
        <f>MAX(0,C84-F83)</f>
        <v/>
      </c>
      <c r="I84" s="2">
        <f>E84-C84</f>
        <v/>
      </c>
    </row>
    <row r="85">
      <c r="A85" s="2" t="n">
        <v>84</v>
      </c>
      <c r="B85" s="3" t="n">
        <v>10</v>
      </c>
      <c r="C85" s="2">
        <f>C84+B85</f>
        <v/>
      </c>
      <c r="D85" s="3" t="n">
        <v>5</v>
      </c>
      <c r="E85" s="2">
        <f>MAX(C85,F84)</f>
        <v/>
      </c>
      <c r="F85" s="2">
        <f>E85+D85</f>
        <v/>
      </c>
      <c r="G85" s="2">
        <f>F85-C85</f>
        <v/>
      </c>
      <c r="H85" s="2">
        <f>MAX(0,C85-F84)</f>
        <v/>
      </c>
      <c r="I85" s="2">
        <f>E85-C85</f>
        <v/>
      </c>
    </row>
    <row r="86">
      <c r="A86" s="2" t="n">
        <v>85</v>
      </c>
      <c r="B86" s="3" t="n">
        <v>6</v>
      </c>
      <c r="C86" s="2">
        <f>C85+B86</f>
        <v/>
      </c>
      <c r="D86" s="3" t="n">
        <v>5</v>
      </c>
      <c r="E86" s="2">
        <f>MAX(C86,F85)</f>
        <v/>
      </c>
      <c r="F86" s="2">
        <f>E86+D86</f>
        <v/>
      </c>
      <c r="G86" s="2">
        <f>F86-C86</f>
        <v/>
      </c>
      <c r="H86" s="2">
        <f>MAX(0,C86-F85)</f>
        <v/>
      </c>
      <c r="I86" s="2">
        <f>E86-C86</f>
        <v/>
      </c>
    </row>
    <row r="87">
      <c r="A87" s="2" t="n">
        <v>86</v>
      </c>
      <c r="B87" s="3" t="n">
        <v>10</v>
      </c>
      <c r="C87" s="2">
        <f>C86+B87</f>
        <v/>
      </c>
      <c r="D87" s="3" t="n">
        <v>4</v>
      </c>
      <c r="E87" s="2">
        <f>MAX(C87,F86)</f>
        <v/>
      </c>
      <c r="F87" s="2">
        <f>E87+D87</f>
        <v/>
      </c>
      <c r="G87" s="2">
        <f>F87-C87</f>
        <v/>
      </c>
      <c r="H87" s="2">
        <f>MAX(0,C87-F86)</f>
        <v/>
      </c>
      <c r="I87" s="2">
        <f>E87-C87</f>
        <v/>
      </c>
    </row>
    <row r="88">
      <c r="A88" s="2" t="n">
        <v>87</v>
      </c>
      <c r="B88" s="3" t="n">
        <v>4</v>
      </c>
      <c r="C88" s="2">
        <f>C87+B88</f>
        <v/>
      </c>
      <c r="D88" s="3" t="n">
        <v>2</v>
      </c>
      <c r="E88" s="2">
        <f>MAX(C88,F87)</f>
        <v/>
      </c>
      <c r="F88" s="2">
        <f>E88+D88</f>
        <v/>
      </c>
      <c r="G88" s="2">
        <f>F88-C88</f>
        <v/>
      </c>
      <c r="H88" s="2">
        <f>MAX(0,C88-F87)</f>
        <v/>
      </c>
      <c r="I88" s="2">
        <f>E88-C88</f>
        <v/>
      </c>
    </row>
    <row r="89">
      <c r="A89" s="2" t="n">
        <v>88</v>
      </c>
      <c r="B89" s="3" t="n">
        <v>1</v>
      </c>
      <c r="C89" s="2">
        <f>C88+B89</f>
        <v/>
      </c>
      <c r="D89" s="3" t="n">
        <v>3</v>
      </c>
      <c r="E89" s="2">
        <f>MAX(C89,F88)</f>
        <v/>
      </c>
      <c r="F89" s="2">
        <f>E89+D89</f>
        <v/>
      </c>
      <c r="G89" s="2">
        <f>F89-C89</f>
        <v/>
      </c>
      <c r="H89" s="2">
        <f>MAX(0,C89-F88)</f>
        <v/>
      </c>
      <c r="I89" s="2">
        <f>E89-C89</f>
        <v/>
      </c>
    </row>
    <row r="90">
      <c r="A90" s="2" t="n">
        <v>89</v>
      </c>
      <c r="B90" s="3" t="n">
        <v>3</v>
      </c>
      <c r="C90" s="2">
        <f>C89+B90</f>
        <v/>
      </c>
      <c r="D90" s="3" t="n">
        <v>4</v>
      </c>
      <c r="E90" s="2">
        <f>MAX(C90,F89)</f>
        <v/>
      </c>
      <c r="F90" s="2">
        <f>E90+D90</f>
        <v/>
      </c>
      <c r="G90" s="2">
        <f>F90-C90</f>
        <v/>
      </c>
      <c r="H90" s="2">
        <f>MAX(0,C90-F89)</f>
        <v/>
      </c>
      <c r="I90" s="2">
        <f>E90-C90</f>
        <v/>
      </c>
    </row>
    <row r="91">
      <c r="A91" s="2" t="n">
        <v>90</v>
      </c>
      <c r="B91" s="3" t="n">
        <v>4</v>
      </c>
      <c r="C91" s="2">
        <f>C90+B91</f>
        <v/>
      </c>
      <c r="D91" s="3" t="n">
        <v>5</v>
      </c>
      <c r="E91" s="2">
        <f>MAX(C91,F90)</f>
        <v/>
      </c>
      <c r="F91" s="2">
        <f>E91+D91</f>
        <v/>
      </c>
      <c r="G91" s="2">
        <f>F91-C91</f>
        <v/>
      </c>
      <c r="H91" s="2">
        <f>MAX(0,C91-F90)</f>
        <v/>
      </c>
      <c r="I91" s="2">
        <f>E91-C91</f>
        <v/>
      </c>
    </row>
    <row r="92">
      <c r="A92" s="2" t="n">
        <v>91</v>
      </c>
      <c r="B92" s="3" t="n">
        <v>6</v>
      </c>
      <c r="C92" s="2">
        <f>C91+B92</f>
        <v/>
      </c>
      <c r="D92" s="3" t="n">
        <v>3</v>
      </c>
      <c r="E92" s="2">
        <f>MAX(C92,F91)</f>
        <v/>
      </c>
      <c r="F92" s="2">
        <f>E92+D92</f>
        <v/>
      </c>
      <c r="G92" s="2">
        <f>F92-C92</f>
        <v/>
      </c>
      <c r="H92" s="2">
        <f>MAX(0,C92-F91)</f>
        <v/>
      </c>
      <c r="I92" s="2">
        <f>E92-C92</f>
        <v/>
      </c>
    </row>
    <row r="93">
      <c r="A93" s="2" t="n">
        <v>92</v>
      </c>
      <c r="B93" s="3" t="n">
        <v>1</v>
      </c>
      <c r="C93" s="2">
        <f>C92+B93</f>
        <v/>
      </c>
      <c r="D93" s="3" t="n">
        <v>5</v>
      </c>
      <c r="E93" s="2">
        <f>MAX(C93,F92)</f>
        <v/>
      </c>
      <c r="F93" s="2">
        <f>E93+D93</f>
        <v/>
      </c>
      <c r="G93" s="2">
        <f>F93-C93</f>
        <v/>
      </c>
      <c r="H93" s="2">
        <f>MAX(0,C93-F92)</f>
        <v/>
      </c>
      <c r="I93" s="2">
        <f>E93-C93</f>
        <v/>
      </c>
    </row>
    <row r="94">
      <c r="A94" s="2" t="n">
        <v>93</v>
      </c>
      <c r="B94" s="3" t="n">
        <v>6</v>
      </c>
      <c r="C94" s="2">
        <f>C93+B94</f>
        <v/>
      </c>
      <c r="D94" s="3" t="n">
        <v>5</v>
      </c>
      <c r="E94" s="2">
        <f>MAX(C94,F93)</f>
        <v/>
      </c>
      <c r="F94" s="2">
        <f>E94+D94</f>
        <v/>
      </c>
      <c r="G94" s="2">
        <f>F94-C94</f>
        <v/>
      </c>
      <c r="H94" s="2">
        <f>MAX(0,C94-F93)</f>
        <v/>
      </c>
      <c r="I94" s="2">
        <f>E94-C94</f>
        <v/>
      </c>
    </row>
    <row r="95">
      <c r="A95" s="2" t="n">
        <v>94</v>
      </c>
      <c r="B95" s="3" t="n">
        <v>3</v>
      </c>
      <c r="C95" s="2">
        <f>C94+B95</f>
        <v/>
      </c>
      <c r="D95" s="3" t="n">
        <v>3</v>
      </c>
      <c r="E95" s="2">
        <f>MAX(C95,F94)</f>
        <v/>
      </c>
      <c r="F95" s="2">
        <f>E95+D95</f>
        <v/>
      </c>
      <c r="G95" s="2">
        <f>F95-C95</f>
        <v/>
      </c>
      <c r="H95" s="2">
        <f>MAX(0,C95-F94)</f>
        <v/>
      </c>
      <c r="I95" s="2">
        <f>E95-C95</f>
        <v/>
      </c>
    </row>
    <row r="96">
      <c r="A96" s="2" t="n">
        <v>95</v>
      </c>
      <c r="B96" s="3" t="n">
        <v>1</v>
      </c>
      <c r="C96" s="2">
        <f>C95+B96</f>
        <v/>
      </c>
      <c r="D96" s="3" t="n">
        <v>6</v>
      </c>
      <c r="E96" s="2">
        <f>MAX(C96,F95)</f>
        <v/>
      </c>
      <c r="F96" s="2">
        <f>E96+D96</f>
        <v/>
      </c>
      <c r="G96" s="2">
        <f>F96-C96</f>
        <v/>
      </c>
      <c r="H96" s="2">
        <f>MAX(0,C96-F95)</f>
        <v/>
      </c>
      <c r="I96" s="2">
        <f>E96-C96</f>
        <v/>
      </c>
    </row>
    <row r="97">
      <c r="A97" s="2" t="n">
        <v>96</v>
      </c>
      <c r="B97" s="3" t="n">
        <v>6</v>
      </c>
      <c r="C97" s="2">
        <f>C96+B97</f>
        <v/>
      </c>
      <c r="D97" s="3" t="n">
        <v>2</v>
      </c>
      <c r="E97" s="2">
        <f>MAX(C97,F96)</f>
        <v/>
      </c>
      <c r="F97" s="2">
        <f>E97+D97</f>
        <v/>
      </c>
      <c r="G97" s="2">
        <f>F97-C97</f>
        <v/>
      </c>
      <c r="H97" s="2">
        <f>MAX(0,C97-F96)</f>
        <v/>
      </c>
      <c r="I97" s="2">
        <f>E97-C97</f>
        <v/>
      </c>
    </row>
    <row r="98">
      <c r="A98" s="2" t="n">
        <v>97</v>
      </c>
      <c r="B98" s="3" t="n">
        <v>4</v>
      </c>
      <c r="C98" s="2">
        <f>C97+B98</f>
        <v/>
      </c>
      <c r="D98" s="3" t="n">
        <v>3</v>
      </c>
      <c r="E98" s="2">
        <f>MAX(C98,F97)</f>
        <v/>
      </c>
      <c r="F98" s="2">
        <f>E98+D98</f>
        <v/>
      </c>
      <c r="G98" s="2">
        <f>F98-C98</f>
        <v/>
      </c>
      <c r="H98" s="2">
        <f>MAX(0,C98-F97)</f>
        <v/>
      </c>
      <c r="I98" s="2">
        <f>E98-C98</f>
        <v/>
      </c>
    </row>
    <row r="99">
      <c r="A99" s="2" t="n">
        <v>98</v>
      </c>
      <c r="B99" s="3" t="n">
        <v>8</v>
      </c>
      <c r="C99" s="2">
        <f>C98+B99</f>
        <v/>
      </c>
      <c r="D99" s="3" t="n">
        <v>1</v>
      </c>
      <c r="E99" s="2">
        <f>MAX(C99,F98)</f>
        <v/>
      </c>
      <c r="F99" s="2">
        <f>E99+D99</f>
        <v/>
      </c>
      <c r="G99" s="2">
        <f>F99-C99</f>
        <v/>
      </c>
      <c r="H99" s="2">
        <f>MAX(0,C99-F98)</f>
        <v/>
      </c>
      <c r="I99" s="2">
        <f>E99-C99</f>
        <v/>
      </c>
    </row>
    <row r="100">
      <c r="A100" s="2" t="n">
        <v>99</v>
      </c>
      <c r="B100" s="3" t="n">
        <v>2</v>
      </c>
      <c r="C100" s="2">
        <f>C99+B100</f>
        <v/>
      </c>
      <c r="D100" s="3" t="n">
        <v>3</v>
      </c>
      <c r="E100" s="2">
        <f>MAX(C100,F99)</f>
        <v/>
      </c>
      <c r="F100" s="2">
        <f>E100+D100</f>
        <v/>
      </c>
      <c r="G100" s="2">
        <f>F100-C100</f>
        <v/>
      </c>
      <c r="H100" s="2">
        <f>MAX(0,C100-F99)</f>
        <v/>
      </c>
      <c r="I100" s="2">
        <f>E100-C100</f>
        <v/>
      </c>
    </row>
    <row r="101">
      <c r="A101" s="2" t="n">
        <v>100</v>
      </c>
      <c r="B101" s="3" t="n">
        <v>9</v>
      </c>
      <c r="C101" s="2">
        <f>C100+B101</f>
        <v/>
      </c>
      <c r="D101" s="3" t="n">
        <v>2</v>
      </c>
      <c r="E101" s="2">
        <f>MAX(C101,F100)</f>
        <v/>
      </c>
      <c r="F101" s="2">
        <f>E101+D101</f>
        <v/>
      </c>
      <c r="G101" s="2">
        <f>F101-C101</f>
        <v/>
      </c>
      <c r="H101" s="2">
        <f>MAX(0,C101-F100)</f>
        <v/>
      </c>
      <c r="I101" s="2">
        <f>E101-C101</f>
        <v/>
      </c>
    </row>
    <row r="102">
      <c r="A102" s="2" t="n">
        <v>101</v>
      </c>
      <c r="B102" s="3" t="n">
        <v>6</v>
      </c>
      <c r="C102" s="2">
        <f>C101+B102</f>
        <v/>
      </c>
      <c r="D102" s="3" t="n">
        <v>5</v>
      </c>
      <c r="E102" s="2">
        <f>MAX(C102,F101)</f>
        <v/>
      </c>
      <c r="F102" s="2">
        <f>E102+D102</f>
        <v/>
      </c>
      <c r="G102" s="2">
        <f>F102-C102</f>
        <v/>
      </c>
      <c r="H102" s="2">
        <f>MAX(0,C102-F101)</f>
        <v/>
      </c>
      <c r="I102" s="2">
        <f>E102-C102</f>
        <v/>
      </c>
    </row>
    <row r="103">
      <c r="A103" s="2" t="n">
        <v>102</v>
      </c>
      <c r="B103" s="3" t="n">
        <v>6</v>
      </c>
      <c r="C103" s="2">
        <f>C102+B103</f>
        <v/>
      </c>
      <c r="D103" s="3" t="n">
        <v>3</v>
      </c>
      <c r="E103" s="2">
        <f>MAX(C103,F102)</f>
        <v/>
      </c>
      <c r="F103" s="2">
        <f>E103+D103</f>
        <v/>
      </c>
      <c r="G103" s="2">
        <f>F103-C103</f>
        <v/>
      </c>
      <c r="H103" s="2">
        <f>MAX(0,C103-F102)</f>
        <v/>
      </c>
      <c r="I103" s="2">
        <f>E103-C103</f>
        <v/>
      </c>
    </row>
    <row r="104">
      <c r="A104" s="2" t="n">
        <v>103</v>
      </c>
      <c r="B104" s="3" t="n">
        <v>4</v>
      </c>
      <c r="C104" s="2">
        <f>C103+B104</f>
        <v/>
      </c>
      <c r="D104" s="3" t="n">
        <v>5</v>
      </c>
      <c r="E104" s="2">
        <f>MAX(C104,F103)</f>
        <v/>
      </c>
      <c r="F104" s="2">
        <f>E104+D104</f>
        <v/>
      </c>
      <c r="G104" s="2">
        <f>F104-C104</f>
        <v/>
      </c>
      <c r="H104" s="2">
        <f>MAX(0,C104-F103)</f>
        <v/>
      </c>
      <c r="I104" s="2">
        <f>E104-C104</f>
        <v/>
      </c>
    </row>
    <row r="105">
      <c r="A105" s="2" t="n">
        <v>104</v>
      </c>
      <c r="B105" s="3" t="n">
        <v>9</v>
      </c>
      <c r="C105" s="2">
        <f>C104+B105</f>
        <v/>
      </c>
      <c r="D105" s="3" t="n">
        <v>3</v>
      </c>
      <c r="E105" s="2">
        <f>MAX(C105,F104)</f>
        <v/>
      </c>
      <c r="F105" s="2">
        <f>E105+D105</f>
        <v/>
      </c>
      <c r="G105" s="2">
        <f>F105-C105</f>
        <v/>
      </c>
      <c r="H105" s="2">
        <f>MAX(0,C105-F104)</f>
        <v/>
      </c>
      <c r="I105" s="2">
        <f>E105-C105</f>
        <v/>
      </c>
    </row>
    <row r="106">
      <c r="A106" s="2" t="n">
        <v>105</v>
      </c>
      <c r="B106" s="3" t="n">
        <v>3</v>
      </c>
      <c r="C106" s="2">
        <f>C105+B106</f>
        <v/>
      </c>
      <c r="D106" s="3" t="n">
        <v>4</v>
      </c>
      <c r="E106" s="2">
        <f>MAX(C106,F105)</f>
        <v/>
      </c>
      <c r="F106" s="2">
        <f>E106+D106</f>
        <v/>
      </c>
      <c r="G106" s="2">
        <f>F106-C106</f>
        <v/>
      </c>
      <c r="H106" s="2">
        <f>MAX(0,C106-F105)</f>
        <v/>
      </c>
      <c r="I106" s="2">
        <f>E106-C106</f>
        <v/>
      </c>
    </row>
    <row r="107">
      <c r="A107" s="2" t="n">
        <v>106</v>
      </c>
      <c r="B107" s="3" t="n">
        <v>1</v>
      </c>
      <c r="C107" s="2">
        <f>C106+B107</f>
        <v/>
      </c>
      <c r="D107" s="3" t="n">
        <v>3</v>
      </c>
      <c r="E107" s="2">
        <f>MAX(C107,F106)</f>
        <v/>
      </c>
      <c r="F107" s="2">
        <f>E107+D107</f>
        <v/>
      </c>
      <c r="G107" s="2">
        <f>F107-C107</f>
        <v/>
      </c>
      <c r="H107" s="2">
        <f>MAX(0,C107-F106)</f>
        <v/>
      </c>
      <c r="I107" s="2">
        <f>E107-C107</f>
        <v/>
      </c>
    </row>
    <row r="108">
      <c r="A108" s="2" t="n">
        <v>107</v>
      </c>
      <c r="B108" s="3" t="n">
        <v>4</v>
      </c>
      <c r="C108" s="2">
        <f>C107+B108</f>
        <v/>
      </c>
      <c r="D108" s="3" t="n">
        <v>6</v>
      </c>
      <c r="E108" s="2">
        <f>MAX(C108,F107)</f>
        <v/>
      </c>
      <c r="F108" s="2">
        <f>E108+D108</f>
        <v/>
      </c>
      <c r="G108" s="2">
        <f>F108-C108</f>
        <v/>
      </c>
      <c r="H108" s="2">
        <f>MAX(0,C108-F107)</f>
        <v/>
      </c>
      <c r="I108" s="2">
        <f>E108-C108</f>
        <v/>
      </c>
    </row>
    <row r="109">
      <c r="A109" s="2" t="n">
        <v>108</v>
      </c>
      <c r="B109" s="3" t="n">
        <v>6</v>
      </c>
      <c r="C109" s="2">
        <f>C108+B109</f>
        <v/>
      </c>
      <c r="D109" s="3" t="n">
        <v>4</v>
      </c>
      <c r="E109" s="2">
        <f>MAX(C109,F108)</f>
        <v/>
      </c>
      <c r="F109" s="2">
        <f>E109+D109</f>
        <v/>
      </c>
      <c r="G109" s="2">
        <f>F109-C109</f>
        <v/>
      </c>
      <c r="H109" s="2">
        <f>MAX(0,C109-F108)</f>
        <v/>
      </c>
      <c r="I109" s="2">
        <f>E109-C109</f>
        <v/>
      </c>
    </row>
    <row r="110">
      <c r="A110" s="2" t="n">
        <v>109</v>
      </c>
      <c r="B110" s="3" t="n">
        <v>8</v>
      </c>
      <c r="C110" s="2">
        <f>C109+B110</f>
        <v/>
      </c>
      <c r="D110" s="3" t="n">
        <v>6</v>
      </c>
      <c r="E110" s="2">
        <f>MAX(C110,F109)</f>
        <v/>
      </c>
      <c r="F110" s="2">
        <f>E110+D110</f>
        <v/>
      </c>
      <c r="G110" s="2">
        <f>F110-C110</f>
        <v/>
      </c>
      <c r="H110" s="2">
        <f>MAX(0,C110-F109)</f>
        <v/>
      </c>
      <c r="I110" s="2">
        <f>E110-C110</f>
        <v/>
      </c>
    </row>
    <row r="111">
      <c r="A111" s="2" t="n">
        <v>110</v>
      </c>
      <c r="B111" s="3" t="n">
        <v>2</v>
      </c>
      <c r="C111" s="2">
        <f>C110+B111</f>
        <v/>
      </c>
      <c r="D111" s="3" t="n">
        <v>6</v>
      </c>
      <c r="E111" s="2">
        <f>MAX(C111,F110)</f>
        <v/>
      </c>
      <c r="F111" s="2">
        <f>E111+D111</f>
        <v/>
      </c>
      <c r="G111" s="2">
        <f>F111-C111</f>
        <v/>
      </c>
      <c r="H111" s="2">
        <f>MAX(0,C111-F110)</f>
        <v/>
      </c>
      <c r="I111" s="2">
        <f>E111-C111</f>
        <v/>
      </c>
    </row>
    <row r="112">
      <c r="A112" s="2" t="n">
        <v>111</v>
      </c>
      <c r="B112" s="3" t="n">
        <v>6</v>
      </c>
      <c r="C112" s="2">
        <f>C111+B112</f>
        <v/>
      </c>
      <c r="D112" s="3" t="n">
        <v>4</v>
      </c>
      <c r="E112" s="2">
        <f>MAX(C112,F111)</f>
        <v/>
      </c>
      <c r="F112" s="2">
        <f>E112+D112</f>
        <v/>
      </c>
      <c r="G112" s="2">
        <f>F112-C112</f>
        <v/>
      </c>
      <c r="H112" s="2">
        <f>MAX(0,C112-F111)</f>
        <v/>
      </c>
      <c r="I112" s="2">
        <f>E112-C112</f>
        <v/>
      </c>
    </row>
    <row r="113">
      <c r="A113" s="2" t="n">
        <v>112</v>
      </c>
      <c r="B113" s="3" t="n">
        <v>3</v>
      </c>
      <c r="C113" s="2">
        <f>C112+B113</f>
        <v/>
      </c>
      <c r="D113" s="3" t="n">
        <v>5</v>
      </c>
      <c r="E113" s="2">
        <f>MAX(C113,F112)</f>
        <v/>
      </c>
      <c r="F113" s="2">
        <f>E113+D113</f>
        <v/>
      </c>
      <c r="G113" s="2">
        <f>F113-C113</f>
        <v/>
      </c>
      <c r="H113" s="2">
        <f>MAX(0,C113-F112)</f>
        <v/>
      </c>
      <c r="I113" s="2">
        <f>E113-C113</f>
        <v/>
      </c>
    </row>
    <row r="114">
      <c r="A114" s="2" t="n">
        <v>113</v>
      </c>
      <c r="B114" s="3" t="n">
        <v>9</v>
      </c>
      <c r="C114" s="2">
        <f>C113+B114</f>
        <v/>
      </c>
      <c r="D114" s="3" t="n">
        <v>6</v>
      </c>
      <c r="E114" s="2">
        <f>MAX(C114,F113)</f>
        <v/>
      </c>
      <c r="F114" s="2">
        <f>E114+D114</f>
        <v/>
      </c>
      <c r="G114" s="2">
        <f>F114-C114</f>
        <v/>
      </c>
      <c r="H114" s="2">
        <f>MAX(0,C114-F113)</f>
        <v/>
      </c>
      <c r="I114" s="2">
        <f>E114-C114</f>
        <v/>
      </c>
    </row>
    <row r="115">
      <c r="A115" s="2" t="n">
        <v>114</v>
      </c>
      <c r="B115" s="3" t="n">
        <v>4</v>
      </c>
      <c r="C115" s="2">
        <f>C114+B115</f>
        <v/>
      </c>
      <c r="D115" s="3" t="n">
        <v>4</v>
      </c>
      <c r="E115" s="2">
        <f>MAX(C115,F114)</f>
        <v/>
      </c>
      <c r="F115" s="2">
        <f>E115+D115</f>
        <v/>
      </c>
      <c r="G115" s="2">
        <f>F115-C115</f>
        <v/>
      </c>
      <c r="H115" s="2">
        <f>MAX(0,C115-F114)</f>
        <v/>
      </c>
      <c r="I115" s="2">
        <f>E115-C115</f>
        <v/>
      </c>
    </row>
    <row r="116">
      <c r="A116" s="2" t="n">
        <v>115</v>
      </c>
      <c r="B116" s="3" t="n">
        <v>10</v>
      </c>
      <c r="C116" s="2">
        <f>C115+B116</f>
        <v/>
      </c>
      <c r="D116" s="3" t="n">
        <v>4</v>
      </c>
      <c r="E116" s="2">
        <f>MAX(C116,F115)</f>
        <v/>
      </c>
      <c r="F116" s="2">
        <f>E116+D116</f>
        <v/>
      </c>
      <c r="G116" s="2">
        <f>F116-C116</f>
        <v/>
      </c>
      <c r="H116" s="2">
        <f>MAX(0,C116-F115)</f>
        <v/>
      </c>
      <c r="I116" s="2">
        <f>E116-C116</f>
        <v/>
      </c>
    </row>
    <row r="117">
      <c r="A117" s="2" t="n">
        <v>116</v>
      </c>
      <c r="B117" s="3" t="n">
        <v>2</v>
      </c>
      <c r="C117" s="2">
        <f>C116+B117</f>
        <v/>
      </c>
      <c r="D117" s="3" t="n">
        <v>4</v>
      </c>
      <c r="E117" s="2">
        <f>MAX(C117,F116)</f>
        <v/>
      </c>
      <c r="F117" s="2">
        <f>E117+D117</f>
        <v/>
      </c>
      <c r="G117" s="2">
        <f>F117-C117</f>
        <v/>
      </c>
      <c r="H117" s="2">
        <f>MAX(0,C117-F116)</f>
        <v/>
      </c>
      <c r="I117" s="2">
        <f>E117-C117</f>
        <v/>
      </c>
    </row>
    <row r="118">
      <c r="A118" s="2" t="n">
        <v>117</v>
      </c>
      <c r="B118" s="3" t="n">
        <v>5</v>
      </c>
      <c r="C118" s="2">
        <f>C117+B118</f>
        <v/>
      </c>
      <c r="D118" s="3" t="n">
        <v>2</v>
      </c>
      <c r="E118" s="2">
        <f>MAX(C118,F117)</f>
        <v/>
      </c>
      <c r="F118" s="2">
        <f>E118+D118</f>
        <v/>
      </c>
      <c r="G118" s="2">
        <f>F118-C118</f>
        <v/>
      </c>
      <c r="H118" s="2">
        <f>MAX(0,C118-F117)</f>
        <v/>
      </c>
      <c r="I118" s="2">
        <f>E118-C118</f>
        <v/>
      </c>
    </row>
    <row r="119">
      <c r="A119" s="2" t="n">
        <v>118</v>
      </c>
      <c r="B119" s="3" t="n">
        <v>4</v>
      </c>
      <c r="C119" s="2">
        <f>C118+B119</f>
        <v/>
      </c>
      <c r="D119" s="3" t="n">
        <v>1</v>
      </c>
      <c r="E119" s="2">
        <f>MAX(C119,F118)</f>
        <v/>
      </c>
      <c r="F119" s="2">
        <f>E119+D119</f>
        <v/>
      </c>
      <c r="G119" s="2">
        <f>F119-C119</f>
        <v/>
      </c>
      <c r="H119" s="2">
        <f>MAX(0,C119-F118)</f>
        <v/>
      </c>
      <c r="I119" s="2">
        <f>E119-C119</f>
        <v/>
      </c>
    </row>
    <row r="120">
      <c r="A120" s="2" t="n">
        <v>119</v>
      </c>
      <c r="B120" s="3" t="n">
        <v>7</v>
      </c>
      <c r="C120" s="2">
        <f>C119+B120</f>
        <v/>
      </c>
      <c r="D120" s="3" t="n">
        <v>3</v>
      </c>
      <c r="E120" s="2">
        <f>MAX(C120,F119)</f>
        <v/>
      </c>
      <c r="F120" s="2">
        <f>E120+D120</f>
        <v/>
      </c>
      <c r="G120" s="2">
        <f>F120-C120</f>
        <v/>
      </c>
      <c r="H120" s="2">
        <f>MAX(0,C120-F119)</f>
        <v/>
      </c>
      <c r="I120" s="2">
        <f>E120-C120</f>
        <v/>
      </c>
    </row>
    <row r="121">
      <c r="A121" s="2" t="n">
        <v>120</v>
      </c>
      <c r="B121" s="3" t="n">
        <v>7</v>
      </c>
      <c r="C121" s="2">
        <f>C120+B121</f>
        <v/>
      </c>
      <c r="D121" s="3" t="n">
        <v>5</v>
      </c>
      <c r="E121" s="2">
        <f>MAX(C121,F120)</f>
        <v/>
      </c>
      <c r="F121" s="2">
        <f>E121+D121</f>
        <v/>
      </c>
      <c r="G121" s="2">
        <f>F121-C121</f>
        <v/>
      </c>
      <c r="H121" s="2">
        <f>MAX(0,C121-F120)</f>
        <v/>
      </c>
      <c r="I121" s="2">
        <f>E121-C121</f>
        <v/>
      </c>
    </row>
    <row r="122">
      <c r="A122" s="2" t="n">
        <v>121</v>
      </c>
      <c r="B122" s="3" t="n">
        <v>2</v>
      </c>
      <c r="C122" s="2">
        <f>C121+B122</f>
        <v/>
      </c>
      <c r="D122" s="3" t="n">
        <v>4</v>
      </c>
      <c r="E122" s="2">
        <f>MAX(C122,F121)</f>
        <v/>
      </c>
      <c r="F122" s="2">
        <f>E122+D122</f>
        <v/>
      </c>
      <c r="G122" s="2">
        <f>F122-C122</f>
        <v/>
      </c>
      <c r="H122" s="2">
        <f>MAX(0,C122-F121)</f>
        <v/>
      </c>
      <c r="I122" s="2">
        <f>E122-C122</f>
        <v/>
      </c>
    </row>
    <row r="123">
      <c r="A123" s="2" t="n">
        <v>122</v>
      </c>
      <c r="B123" s="3" t="n">
        <v>6</v>
      </c>
      <c r="C123" s="2">
        <f>C122+B123</f>
        <v/>
      </c>
      <c r="D123" s="3" t="n">
        <v>2</v>
      </c>
      <c r="E123" s="2">
        <f>MAX(C123,F122)</f>
        <v/>
      </c>
      <c r="F123" s="2">
        <f>E123+D123</f>
        <v/>
      </c>
      <c r="G123" s="2">
        <f>F123-C123</f>
        <v/>
      </c>
      <c r="H123" s="2">
        <f>MAX(0,C123-F122)</f>
        <v/>
      </c>
      <c r="I123" s="2">
        <f>E123-C123</f>
        <v/>
      </c>
    </row>
    <row r="124">
      <c r="A124" s="2" t="n">
        <v>123</v>
      </c>
      <c r="B124" s="3" t="n">
        <v>9</v>
      </c>
      <c r="C124" s="2">
        <f>C123+B124</f>
        <v/>
      </c>
      <c r="D124" s="3" t="n">
        <v>5</v>
      </c>
      <c r="E124" s="2">
        <f>MAX(C124,F123)</f>
        <v/>
      </c>
      <c r="F124" s="2">
        <f>E124+D124</f>
        <v/>
      </c>
      <c r="G124" s="2">
        <f>F124-C124</f>
        <v/>
      </c>
      <c r="H124" s="2">
        <f>MAX(0,C124-F123)</f>
        <v/>
      </c>
      <c r="I124" s="2">
        <f>E124-C124</f>
        <v/>
      </c>
    </row>
    <row r="125">
      <c r="A125" s="2" t="n">
        <v>124</v>
      </c>
      <c r="B125" s="3" t="n">
        <v>8</v>
      </c>
      <c r="C125" s="2">
        <f>C124+B125</f>
        <v/>
      </c>
      <c r="D125" s="3" t="n">
        <v>1</v>
      </c>
      <c r="E125" s="2">
        <f>MAX(C125,F124)</f>
        <v/>
      </c>
      <c r="F125" s="2">
        <f>E125+D125</f>
        <v/>
      </c>
      <c r="G125" s="2">
        <f>F125-C125</f>
        <v/>
      </c>
      <c r="H125" s="2">
        <f>MAX(0,C125-F124)</f>
        <v/>
      </c>
      <c r="I125" s="2">
        <f>E125-C125</f>
        <v/>
      </c>
    </row>
    <row r="126">
      <c r="A126" s="2" t="n">
        <v>125</v>
      </c>
      <c r="B126" s="3" t="n">
        <v>10</v>
      </c>
      <c r="C126" s="2">
        <f>C125+B126</f>
        <v/>
      </c>
      <c r="D126" s="3" t="n">
        <v>3</v>
      </c>
      <c r="E126" s="2">
        <f>MAX(C126,F125)</f>
        <v/>
      </c>
      <c r="F126" s="2">
        <f>E126+D126</f>
        <v/>
      </c>
      <c r="G126" s="2">
        <f>F126-C126</f>
        <v/>
      </c>
      <c r="H126" s="2">
        <f>MAX(0,C126-F125)</f>
        <v/>
      </c>
      <c r="I126" s="2">
        <f>E126-C126</f>
        <v/>
      </c>
    </row>
    <row r="127">
      <c r="A127" s="2" t="n">
        <v>126</v>
      </c>
      <c r="B127" s="3" t="n">
        <v>2</v>
      </c>
      <c r="C127" s="2">
        <f>C126+B127</f>
        <v/>
      </c>
      <c r="D127" s="3" t="n">
        <v>6</v>
      </c>
      <c r="E127" s="2">
        <f>MAX(C127,F126)</f>
        <v/>
      </c>
      <c r="F127" s="2">
        <f>E127+D127</f>
        <v/>
      </c>
      <c r="G127" s="2">
        <f>F127-C127</f>
        <v/>
      </c>
      <c r="H127" s="2">
        <f>MAX(0,C127-F126)</f>
        <v/>
      </c>
      <c r="I127" s="2">
        <f>E127-C127</f>
        <v/>
      </c>
    </row>
    <row r="128">
      <c r="A128" s="2" t="n">
        <v>127</v>
      </c>
      <c r="B128" s="3" t="n">
        <v>5</v>
      </c>
      <c r="C128" s="2">
        <f>C127+B128</f>
        <v/>
      </c>
      <c r="D128" s="3" t="n">
        <v>1</v>
      </c>
      <c r="E128" s="2">
        <f>MAX(C128,F127)</f>
        <v/>
      </c>
      <c r="F128" s="2">
        <f>E128+D128</f>
        <v/>
      </c>
      <c r="G128" s="2">
        <f>F128-C128</f>
        <v/>
      </c>
      <c r="H128" s="2">
        <f>MAX(0,C128-F127)</f>
        <v/>
      </c>
      <c r="I128" s="2">
        <f>E128-C128</f>
        <v/>
      </c>
    </row>
    <row r="129">
      <c r="A129" s="2" t="n">
        <v>128</v>
      </c>
      <c r="B129" s="3" t="n">
        <v>3</v>
      </c>
      <c r="C129" s="2">
        <f>C128+B129</f>
        <v/>
      </c>
      <c r="D129" s="3" t="n">
        <v>6</v>
      </c>
      <c r="E129" s="2">
        <f>MAX(C129,F128)</f>
        <v/>
      </c>
      <c r="F129" s="2">
        <f>E129+D129</f>
        <v/>
      </c>
      <c r="G129" s="2">
        <f>F129-C129</f>
        <v/>
      </c>
      <c r="H129" s="2">
        <f>MAX(0,C129-F128)</f>
        <v/>
      </c>
      <c r="I129" s="2">
        <f>E129-C129</f>
        <v/>
      </c>
    </row>
    <row r="130">
      <c r="A130" s="2" t="n">
        <v>129</v>
      </c>
      <c r="B130" s="3" t="n">
        <v>1</v>
      </c>
      <c r="C130" s="2">
        <f>C129+B130</f>
        <v/>
      </c>
      <c r="D130" s="3" t="n">
        <v>5</v>
      </c>
      <c r="E130" s="2">
        <f>MAX(C130,F129)</f>
        <v/>
      </c>
      <c r="F130" s="2">
        <f>E130+D130</f>
        <v/>
      </c>
      <c r="G130" s="2">
        <f>F130-C130</f>
        <v/>
      </c>
      <c r="H130" s="2">
        <f>MAX(0,C130-F129)</f>
        <v/>
      </c>
      <c r="I130" s="2">
        <f>E130-C130</f>
        <v/>
      </c>
    </row>
    <row r="131">
      <c r="A131" s="2" t="n">
        <v>130</v>
      </c>
      <c r="B131" s="3" t="n">
        <v>1</v>
      </c>
      <c r="C131" s="2">
        <f>C130+B131</f>
        <v/>
      </c>
      <c r="D131" s="3" t="n">
        <v>4</v>
      </c>
      <c r="E131" s="2">
        <f>MAX(C131,F130)</f>
        <v/>
      </c>
      <c r="F131" s="2">
        <f>E131+D131</f>
        <v/>
      </c>
      <c r="G131" s="2">
        <f>F131-C131</f>
        <v/>
      </c>
      <c r="H131" s="2">
        <f>MAX(0,C131-F130)</f>
        <v/>
      </c>
      <c r="I131" s="2">
        <f>E131-C131</f>
        <v/>
      </c>
    </row>
    <row r="132">
      <c r="A132" s="2" t="n">
        <v>131</v>
      </c>
      <c r="B132" s="3" t="n">
        <v>6</v>
      </c>
      <c r="C132" s="2">
        <f>C131+B132</f>
        <v/>
      </c>
      <c r="D132" s="3" t="n">
        <v>2</v>
      </c>
      <c r="E132" s="2">
        <f>MAX(C132,F131)</f>
        <v/>
      </c>
      <c r="F132" s="2">
        <f>E132+D132</f>
        <v/>
      </c>
      <c r="G132" s="2">
        <f>F132-C132</f>
        <v/>
      </c>
      <c r="H132" s="2">
        <f>MAX(0,C132-F131)</f>
        <v/>
      </c>
      <c r="I132" s="2">
        <f>E132-C132</f>
        <v/>
      </c>
    </row>
    <row r="133">
      <c r="A133" s="2" t="n">
        <v>132</v>
      </c>
      <c r="B133" s="3" t="n">
        <v>9</v>
      </c>
      <c r="C133" s="2">
        <f>C132+B133</f>
        <v/>
      </c>
      <c r="D133" s="3" t="n">
        <v>4</v>
      </c>
      <c r="E133" s="2">
        <f>MAX(C133,F132)</f>
        <v/>
      </c>
      <c r="F133" s="2">
        <f>E133+D133</f>
        <v/>
      </c>
      <c r="G133" s="2">
        <f>F133-C133</f>
        <v/>
      </c>
      <c r="H133" s="2">
        <f>MAX(0,C133-F132)</f>
        <v/>
      </c>
      <c r="I133" s="2">
        <f>E133-C133</f>
        <v/>
      </c>
    </row>
    <row r="134">
      <c r="A134" s="2" t="n">
        <v>133</v>
      </c>
      <c r="B134" s="3" t="n">
        <v>5</v>
      </c>
      <c r="C134" s="2">
        <f>C133+B134</f>
        <v/>
      </c>
      <c r="D134" s="3" t="n">
        <v>6</v>
      </c>
      <c r="E134" s="2">
        <f>MAX(C134,F133)</f>
        <v/>
      </c>
      <c r="F134" s="2">
        <f>E134+D134</f>
        <v/>
      </c>
      <c r="G134" s="2">
        <f>F134-C134</f>
        <v/>
      </c>
      <c r="H134" s="2">
        <f>MAX(0,C134-F133)</f>
        <v/>
      </c>
      <c r="I134" s="2">
        <f>E134-C134</f>
        <v/>
      </c>
    </row>
    <row r="135">
      <c r="A135" s="2" t="n">
        <v>134</v>
      </c>
      <c r="B135" s="3" t="n">
        <v>2</v>
      </c>
      <c r="C135" s="2">
        <f>C134+B135</f>
        <v/>
      </c>
      <c r="D135" s="3" t="n">
        <v>6</v>
      </c>
      <c r="E135" s="2">
        <f>MAX(C135,F134)</f>
        <v/>
      </c>
      <c r="F135" s="2">
        <f>E135+D135</f>
        <v/>
      </c>
      <c r="G135" s="2">
        <f>F135-C135</f>
        <v/>
      </c>
      <c r="H135" s="2">
        <f>MAX(0,C135-F134)</f>
        <v/>
      </c>
      <c r="I135" s="2">
        <f>E135-C135</f>
        <v/>
      </c>
    </row>
    <row r="136">
      <c r="A136" s="2" t="n">
        <v>135</v>
      </c>
      <c r="B136" s="3" t="n">
        <v>2</v>
      </c>
      <c r="C136" s="2">
        <f>C135+B136</f>
        <v/>
      </c>
      <c r="D136" s="3" t="n">
        <v>2</v>
      </c>
      <c r="E136" s="2">
        <f>MAX(C136,F135)</f>
        <v/>
      </c>
      <c r="F136" s="2">
        <f>E136+D136</f>
        <v/>
      </c>
      <c r="G136" s="2">
        <f>F136-C136</f>
        <v/>
      </c>
      <c r="H136" s="2">
        <f>MAX(0,C136-F135)</f>
        <v/>
      </c>
      <c r="I136" s="2">
        <f>E136-C136</f>
        <v/>
      </c>
    </row>
    <row r="137">
      <c r="A137" s="2" t="n">
        <v>136</v>
      </c>
      <c r="B137" s="3" t="n">
        <v>2</v>
      </c>
      <c r="C137" s="2">
        <f>C136+B137</f>
        <v/>
      </c>
      <c r="D137" s="3" t="n">
        <v>4</v>
      </c>
      <c r="E137" s="2">
        <f>MAX(C137,F136)</f>
        <v/>
      </c>
      <c r="F137" s="2">
        <f>E137+D137</f>
        <v/>
      </c>
      <c r="G137" s="2">
        <f>F137-C137</f>
        <v/>
      </c>
      <c r="H137" s="2">
        <f>MAX(0,C137-F136)</f>
        <v/>
      </c>
      <c r="I137" s="2">
        <f>E137-C137</f>
        <v/>
      </c>
    </row>
    <row r="138">
      <c r="A138" s="2" t="n">
        <v>137</v>
      </c>
      <c r="B138" s="3" t="n">
        <v>6</v>
      </c>
      <c r="C138" s="2">
        <f>C137+B138</f>
        <v/>
      </c>
      <c r="D138" s="3" t="n">
        <v>1</v>
      </c>
      <c r="E138" s="2">
        <f>MAX(C138,F137)</f>
        <v/>
      </c>
      <c r="F138" s="2">
        <f>E138+D138</f>
        <v/>
      </c>
      <c r="G138" s="2">
        <f>F138-C138</f>
        <v/>
      </c>
      <c r="H138" s="2">
        <f>MAX(0,C138-F137)</f>
        <v/>
      </c>
      <c r="I138" s="2">
        <f>E138-C138</f>
        <v/>
      </c>
    </row>
    <row r="139">
      <c r="A139" s="2" t="n">
        <v>138</v>
      </c>
      <c r="B139" s="3" t="n">
        <v>3</v>
      </c>
      <c r="C139" s="2">
        <f>C138+B139</f>
        <v/>
      </c>
      <c r="D139" s="3" t="n">
        <v>6</v>
      </c>
      <c r="E139" s="2">
        <f>MAX(C139,F138)</f>
        <v/>
      </c>
      <c r="F139" s="2">
        <f>E139+D139</f>
        <v/>
      </c>
      <c r="G139" s="2">
        <f>F139-C139</f>
        <v/>
      </c>
      <c r="H139" s="2">
        <f>MAX(0,C139-F138)</f>
        <v/>
      </c>
      <c r="I139" s="2">
        <f>E139-C139</f>
        <v/>
      </c>
    </row>
    <row r="140">
      <c r="A140" s="2" t="n">
        <v>139</v>
      </c>
      <c r="B140" s="3" t="n">
        <v>4</v>
      </c>
      <c r="C140" s="2">
        <f>C139+B140</f>
        <v/>
      </c>
      <c r="D140" s="3" t="n">
        <v>4</v>
      </c>
      <c r="E140" s="2">
        <f>MAX(C140,F139)</f>
        <v/>
      </c>
      <c r="F140" s="2">
        <f>E140+D140</f>
        <v/>
      </c>
      <c r="G140" s="2">
        <f>F140-C140</f>
        <v/>
      </c>
      <c r="H140" s="2">
        <f>MAX(0,C140-F139)</f>
        <v/>
      </c>
      <c r="I140" s="2">
        <f>E140-C140</f>
        <v/>
      </c>
    </row>
    <row r="141">
      <c r="A141" s="2" t="n">
        <v>140</v>
      </c>
      <c r="B141" s="3" t="n">
        <v>6</v>
      </c>
      <c r="C141" s="2">
        <f>C140+B141</f>
        <v/>
      </c>
      <c r="D141" s="3" t="n">
        <v>2</v>
      </c>
      <c r="E141" s="2">
        <f>MAX(C141,F140)</f>
        <v/>
      </c>
      <c r="F141" s="2">
        <f>E141+D141</f>
        <v/>
      </c>
      <c r="G141" s="2">
        <f>F141-C141</f>
        <v/>
      </c>
      <c r="H141" s="2">
        <f>MAX(0,C141-F140)</f>
        <v/>
      </c>
      <c r="I141" s="2">
        <f>E141-C141</f>
        <v/>
      </c>
    </row>
    <row r="142">
      <c r="A142" s="2" t="n">
        <v>141</v>
      </c>
      <c r="B142" s="3" t="n">
        <v>10</v>
      </c>
      <c r="C142" s="2">
        <f>C141+B142</f>
        <v/>
      </c>
      <c r="D142" s="3" t="n">
        <v>4</v>
      </c>
      <c r="E142" s="2">
        <f>MAX(C142,F141)</f>
        <v/>
      </c>
      <c r="F142" s="2">
        <f>E142+D142</f>
        <v/>
      </c>
      <c r="G142" s="2">
        <f>F142-C142</f>
        <v/>
      </c>
      <c r="H142" s="2">
        <f>MAX(0,C142-F141)</f>
        <v/>
      </c>
      <c r="I142" s="2">
        <f>E142-C142</f>
        <v/>
      </c>
    </row>
    <row r="143">
      <c r="A143" s="2" t="n">
        <v>142</v>
      </c>
      <c r="B143" s="3" t="n">
        <v>8</v>
      </c>
      <c r="C143" s="2">
        <f>C142+B143</f>
        <v/>
      </c>
      <c r="D143" s="3" t="n">
        <v>4</v>
      </c>
      <c r="E143" s="2">
        <f>MAX(C143,F142)</f>
        <v/>
      </c>
      <c r="F143" s="2">
        <f>E143+D143</f>
        <v/>
      </c>
      <c r="G143" s="2">
        <f>F143-C143</f>
        <v/>
      </c>
      <c r="H143" s="2">
        <f>MAX(0,C143-F142)</f>
        <v/>
      </c>
      <c r="I143" s="2">
        <f>E143-C143</f>
        <v/>
      </c>
    </row>
    <row r="144">
      <c r="A144" s="2" t="n">
        <v>143</v>
      </c>
      <c r="B144" s="3" t="n">
        <v>1</v>
      </c>
      <c r="C144" s="2">
        <f>C143+B144</f>
        <v/>
      </c>
      <c r="D144" s="3" t="n">
        <v>3</v>
      </c>
      <c r="E144" s="2">
        <f>MAX(C144,F143)</f>
        <v/>
      </c>
      <c r="F144" s="2">
        <f>E144+D144</f>
        <v/>
      </c>
      <c r="G144" s="2">
        <f>F144-C144</f>
        <v/>
      </c>
      <c r="H144" s="2">
        <f>MAX(0,C144-F143)</f>
        <v/>
      </c>
      <c r="I144" s="2">
        <f>E144-C144</f>
        <v/>
      </c>
    </row>
    <row r="145">
      <c r="A145" s="2" t="n">
        <v>144</v>
      </c>
      <c r="B145" s="3" t="n">
        <v>8</v>
      </c>
      <c r="C145" s="2">
        <f>C144+B145</f>
        <v/>
      </c>
      <c r="D145" s="3" t="n">
        <v>2</v>
      </c>
      <c r="E145" s="2">
        <f>MAX(C145,F144)</f>
        <v/>
      </c>
      <c r="F145" s="2">
        <f>E145+D145</f>
        <v/>
      </c>
      <c r="G145" s="2">
        <f>F145-C145</f>
        <v/>
      </c>
      <c r="H145" s="2">
        <f>MAX(0,C145-F144)</f>
        <v/>
      </c>
      <c r="I145" s="2">
        <f>E145-C145</f>
        <v/>
      </c>
    </row>
    <row r="146">
      <c r="A146" s="2" t="n">
        <v>145</v>
      </c>
      <c r="B146" s="3" t="n">
        <v>6</v>
      </c>
      <c r="C146" s="2">
        <f>C145+B146</f>
        <v/>
      </c>
      <c r="D146" s="3" t="n">
        <v>2</v>
      </c>
      <c r="E146" s="2">
        <f>MAX(C146,F145)</f>
        <v/>
      </c>
      <c r="F146" s="2">
        <f>E146+D146</f>
        <v/>
      </c>
      <c r="G146" s="2">
        <f>F146-C146</f>
        <v/>
      </c>
      <c r="H146" s="2">
        <f>MAX(0,C146-F145)</f>
        <v/>
      </c>
      <c r="I146" s="2">
        <f>E146-C146</f>
        <v/>
      </c>
    </row>
    <row r="147">
      <c r="A147" s="2" t="n">
        <v>146</v>
      </c>
      <c r="B147" s="3" t="n">
        <v>8</v>
      </c>
      <c r="C147" s="2">
        <f>C146+B147</f>
        <v/>
      </c>
      <c r="D147" s="3" t="n">
        <v>4</v>
      </c>
      <c r="E147" s="2">
        <f>MAX(C147,F146)</f>
        <v/>
      </c>
      <c r="F147" s="2">
        <f>E147+D147</f>
        <v/>
      </c>
      <c r="G147" s="2">
        <f>F147-C147</f>
        <v/>
      </c>
      <c r="H147" s="2">
        <f>MAX(0,C147-F146)</f>
        <v/>
      </c>
      <c r="I147" s="2">
        <f>E147-C147</f>
        <v/>
      </c>
    </row>
    <row r="148">
      <c r="A148" s="2" t="n">
        <v>147</v>
      </c>
      <c r="B148" s="3" t="n">
        <v>10</v>
      </c>
      <c r="C148" s="2">
        <f>C147+B148</f>
        <v/>
      </c>
      <c r="D148" s="3" t="n">
        <v>6</v>
      </c>
      <c r="E148" s="2">
        <f>MAX(C148,F147)</f>
        <v/>
      </c>
      <c r="F148" s="2">
        <f>E148+D148</f>
        <v/>
      </c>
      <c r="G148" s="2">
        <f>F148-C148</f>
        <v/>
      </c>
      <c r="H148" s="2">
        <f>MAX(0,C148-F147)</f>
        <v/>
      </c>
      <c r="I148" s="2">
        <f>E148-C148</f>
        <v/>
      </c>
    </row>
    <row r="149">
      <c r="A149" s="2" t="n">
        <v>148</v>
      </c>
      <c r="B149" s="3" t="n">
        <v>2</v>
      </c>
      <c r="C149" s="2">
        <f>C148+B149</f>
        <v/>
      </c>
      <c r="D149" s="3" t="n">
        <v>6</v>
      </c>
      <c r="E149" s="2">
        <f>MAX(C149,F148)</f>
        <v/>
      </c>
      <c r="F149" s="2">
        <f>E149+D149</f>
        <v/>
      </c>
      <c r="G149" s="2">
        <f>F149-C149</f>
        <v/>
      </c>
      <c r="H149" s="2">
        <f>MAX(0,C149-F148)</f>
        <v/>
      </c>
      <c r="I149" s="2">
        <f>E149-C149</f>
        <v/>
      </c>
    </row>
    <row r="150">
      <c r="A150" s="2" t="n">
        <v>149</v>
      </c>
      <c r="B150" s="3" t="n">
        <v>10</v>
      </c>
      <c r="C150" s="2">
        <f>C149+B150</f>
        <v/>
      </c>
      <c r="D150" s="3" t="n">
        <v>5</v>
      </c>
      <c r="E150" s="2">
        <f>MAX(C150,F149)</f>
        <v/>
      </c>
      <c r="F150" s="2">
        <f>E150+D150</f>
        <v/>
      </c>
      <c r="G150" s="2">
        <f>F150-C150</f>
        <v/>
      </c>
      <c r="H150" s="2">
        <f>MAX(0,C150-F149)</f>
        <v/>
      </c>
      <c r="I150" s="2">
        <f>E150-C150</f>
        <v/>
      </c>
    </row>
    <row r="151">
      <c r="A151" s="2" t="n">
        <v>150</v>
      </c>
      <c r="B151" s="3" t="n">
        <v>10</v>
      </c>
      <c r="C151" s="2">
        <f>C150+B151</f>
        <v/>
      </c>
      <c r="D151" s="3" t="n">
        <v>3</v>
      </c>
      <c r="E151" s="2">
        <f>MAX(C151,F150)</f>
        <v/>
      </c>
      <c r="F151" s="2">
        <f>E151+D151</f>
        <v/>
      </c>
      <c r="G151" s="2">
        <f>F151-C151</f>
        <v/>
      </c>
      <c r="H151" s="2">
        <f>MAX(0,C151-F150)</f>
        <v/>
      </c>
      <c r="I151" s="2">
        <f>E151-C151</f>
        <v/>
      </c>
    </row>
    <row r="152">
      <c r="A152" s="2" t="n">
        <v>151</v>
      </c>
      <c r="B152" s="3" t="n">
        <v>3</v>
      </c>
      <c r="C152" s="2">
        <f>C151+B152</f>
        <v/>
      </c>
      <c r="D152" s="3" t="n">
        <v>2</v>
      </c>
      <c r="E152" s="2">
        <f>MAX(C152,F151)</f>
        <v/>
      </c>
      <c r="F152" s="2">
        <f>E152+D152</f>
        <v/>
      </c>
      <c r="G152" s="2">
        <f>F152-C152</f>
        <v/>
      </c>
      <c r="H152" s="2">
        <f>MAX(0,C152-F151)</f>
        <v/>
      </c>
      <c r="I152" s="2">
        <f>E152-C152</f>
        <v/>
      </c>
    </row>
    <row r="153">
      <c r="A153" s="2" t="n">
        <v>152</v>
      </c>
      <c r="B153" s="3" t="n">
        <v>8</v>
      </c>
      <c r="C153" s="2">
        <f>C152+B153</f>
        <v/>
      </c>
      <c r="D153" s="3" t="n">
        <v>4</v>
      </c>
      <c r="E153" s="2">
        <f>MAX(C153,F152)</f>
        <v/>
      </c>
      <c r="F153" s="2">
        <f>E153+D153</f>
        <v/>
      </c>
      <c r="G153" s="2">
        <f>F153-C153</f>
        <v/>
      </c>
      <c r="H153" s="2">
        <f>MAX(0,C153-F152)</f>
        <v/>
      </c>
      <c r="I153" s="2">
        <f>E153-C153</f>
        <v/>
      </c>
    </row>
    <row r="154">
      <c r="A154" s="2" t="n">
        <v>153</v>
      </c>
      <c r="B154" s="3" t="n">
        <v>10</v>
      </c>
      <c r="C154" s="2">
        <f>C153+B154</f>
        <v/>
      </c>
      <c r="D154" s="3" t="n">
        <v>3</v>
      </c>
      <c r="E154" s="2">
        <f>MAX(C154,F153)</f>
        <v/>
      </c>
      <c r="F154" s="2">
        <f>E154+D154</f>
        <v/>
      </c>
      <c r="G154" s="2">
        <f>F154-C154</f>
        <v/>
      </c>
      <c r="H154" s="2">
        <f>MAX(0,C154-F153)</f>
        <v/>
      </c>
      <c r="I154" s="2">
        <f>E154-C154</f>
        <v/>
      </c>
    </row>
    <row r="155">
      <c r="A155" s="2" t="n">
        <v>154</v>
      </c>
      <c r="B155" s="3" t="n">
        <v>1</v>
      </c>
      <c r="C155" s="2">
        <f>C154+B155</f>
        <v/>
      </c>
      <c r="D155" s="3" t="n">
        <v>6</v>
      </c>
      <c r="E155" s="2">
        <f>MAX(C155,F154)</f>
        <v/>
      </c>
      <c r="F155" s="2">
        <f>E155+D155</f>
        <v/>
      </c>
      <c r="G155" s="2">
        <f>F155-C155</f>
        <v/>
      </c>
      <c r="H155" s="2">
        <f>MAX(0,C155-F154)</f>
        <v/>
      </c>
      <c r="I155" s="2">
        <f>E155-C155</f>
        <v/>
      </c>
    </row>
    <row r="156">
      <c r="A156" s="2" t="n">
        <v>155</v>
      </c>
      <c r="B156" s="3" t="n">
        <v>1</v>
      </c>
      <c r="C156" s="2">
        <f>C155+B156</f>
        <v/>
      </c>
      <c r="D156" s="3" t="n">
        <v>6</v>
      </c>
      <c r="E156" s="2">
        <f>MAX(C156,F155)</f>
        <v/>
      </c>
      <c r="F156" s="2">
        <f>E156+D156</f>
        <v/>
      </c>
      <c r="G156" s="2">
        <f>F156-C156</f>
        <v/>
      </c>
      <c r="H156" s="2">
        <f>MAX(0,C156-F155)</f>
        <v/>
      </c>
      <c r="I156" s="2">
        <f>E156-C156</f>
        <v/>
      </c>
    </row>
    <row r="157">
      <c r="A157" s="2" t="n">
        <v>156</v>
      </c>
      <c r="B157" s="3" t="n">
        <v>5</v>
      </c>
      <c r="C157" s="2">
        <f>C156+B157</f>
        <v/>
      </c>
      <c r="D157" s="3" t="n">
        <v>2</v>
      </c>
      <c r="E157" s="2">
        <f>MAX(C157,F156)</f>
        <v/>
      </c>
      <c r="F157" s="2">
        <f>E157+D157</f>
        <v/>
      </c>
      <c r="G157" s="2">
        <f>F157-C157</f>
        <v/>
      </c>
      <c r="H157" s="2">
        <f>MAX(0,C157-F156)</f>
        <v/>
      </c>
      <c r="I157" s="2">
        <f>E157-C157</f>
        <v/>
      </c>
    </row>
    <row r="158">
      <c r="A158" s="2" t="n">
        <v>157</v>
      </c>
      <c r="B158" s="3" t="n">
        <v>6</v>
      </c>
      <c r="C158" s="2">
        <f>C157+B158</f>
        <v/>
      </c>
      <c r="D158" s="3" t="n">
        <v>3</v>
      </c>
      <c r="E158" s="2">
        <f>MAX(C158,F157)</f>
        <v/>
      </c>
      <c r="F158" s="2">
        <f>E158+D158</f>
        <v/>
      </c>
      <c r="G158" s="2">
        <f>F158-C158</f>
        <v/>
      </c>
      <c r="H158" s="2">
        <f>MAX(0,C158-F157)</f>
        <v/>
      </c>
      <c r="I158" s="2">
        <f>E158-C158</f>
        <v/>
      </c>
    </row>
    <row r="159">
      <c r="A159" s="2" t="n">
        <v>158</v>
      </c>
      <c r="B159" s="3" t="n">
        <v>4</v>
      </c>
      <c r="C159" s="2">
        <f>C158+B159</f>
        <v/>
      </c>
      <c r="D159" s="3" t="n">
        <v>3</v>
      </c>
      <c r="E159" s="2">
        <f>MAX(C159,F158)</f>
        <v/>
      </c>
      <c r="F159" s="2">
        <f>E159+D159</f>
        <v/>
      </c>
      <c r="G159" s="2">
        <f>F159-C159</f>
        <v/>
      </c>
      <c r="H159" s="2">
        <f>MAX(0,C159-F158)</f>
        <v/>
      </c>
      <c r="I159" s="2">
        <f>E159-C159</f>
        <v/>
      </c>
    </row>
    <row r="160">
      <c r="A160" s="2" t="n">
        <v>159</v>
      </c>
      <c r="B160" s="3" t="n">
        <v>4</v>
      </c>
      <c r="C160" s="2">
        <f>C159+B160</f>
        <v/>
      </c>
      <c r="D160" s="3" t="n">
        <v>3</v>
      </c>
      <c r="E160" s="2">
        <f>MAX(C160,F159)</f>
        <v/>
      </c>
      <c r="F160" s="2">
        <f>E160+D160</f>
        <v/>
      </c>
      <c r="G160" s="2">
        <f>F160-C160</f>
        <v/>
      </c>
      <c r="H160" s="2">
        <f>MAX(0,C160-F159)</f>
        <v/>
      </c>
      <c r="I160" s="2">
        <f>E160-C160</f>
        <v/>
      </c>
    </row>
    <row r="161">
      <c r="A161" s="2" t="n">
        <v>160</v>
      </c>
      <c r="B161" s="3" t="n">
        <v>1</v>
      </c>
      <c r="C161" s="2">
        <f>C160+B161</f>
        <v/>
      </c>
      <c r="D161" s="3" t="n">
        <v>6</v>
      </c>
      <c r="E161" s="2">
        <f>MAX(C161,F160)</f>
        <v/>
      </c>
      <c r="F161" s="2">
        <f>E161+D161</f>
        <v/>
      </c>
      <c r="G161" s="2">
        <f>F161-C161</f>
        <v/>
      </c>
      <c r="H161" s="2">
        <f>MAX(0,C161-F160)</f>
        <v/>
      </c>
      <c r="I161" s="2">
        <f>E161-C161</f>
        <v/>
      </c>
    </row>
    <row r="162">
      <c r="A162" s="2" t="n">
        <v>161</v>
      </c>
      <c r="B162" s="3" t="n">
        <v>10</v>
      </c>
      <c r="C162" s="2">
        <f>C161+B162</f>
        <v/>
      </c>
      <c r="D162" s="3" t="n">
        <v>3</v>
      </c>
      <c r="E162" s="2">
        <f>MAX(C162,F161)</f>
        <v/>
      </c>
      <c r="F162" s="2">
        <f>E162+D162</f>
        <v/>
      </c>
      <c r="G162" s="2">
        <f>F162-C162</f>
        <v/>
      </c>
      <c r="H162" s="2">
        <f>MAX(0,C162-F161)</f>
        <v/>
      </c>
      <c r="I162" s="2">
        <f>E162-C162</f>
        <v/>
      </c>
    </row>
    <row r="163">
      <c r="A163" s="2" t="n">
        <v>162</v>
      </c>
      <c r="B163" s="3" t="n">
        <v>7</v>
      </c>
      <c r="C163" s="2">
        <f>C162+B163</f>
        <v/>
      </c>
      <c r="D163" s="3" t="n">
        <v>1</v>
      </c>
      <c r="E163" s="2">
        <f>MAX(C163,F162)</f>
        <v/>
      </c>
      <c r="F163" s="2">
        <f>E163+D163</f>
        <v/>
      </c>
      <c r="G163" s="2">
        <f>F163-C163</f>
        <v/>
      </c>
      <c r="H163" s="2">
        <f>MAX(0,C163-F162)</f>
        <v/>
      </c>
      <c r="I163" s="2">
        <f>E163-C163</f>
        <v/>
      </c>
    </row>
    <row r="164">
      <c r="A164" s="2" t="n">
        <v>163</v>
      </c>
      <c r="B164" s="3" t="n">
        <v>4</v>
      </c>
      <c r="C164" s="2">
        <f>C163+B164</f>
        <v/>
      </c>
      <c r="D164" s="3" t="n">
        <v>4</v>
      </c>
      <c r="E164" s="2">
        <f>MAX(C164,F163)</f>
        <v/>
      </c>
      <c r="F164" s="2">
        <f>E164+D164</f>
        <v/>
      </c>
      <c r="G164" s="2">
        <f>F164-C164</f>
        <v/>
      </c>
      <c r="H164" s="2">
        <f>MAX(0,C164-F163)</f>
        <v/>
      </c>
      <c r="I164" s="2">
        <f>E164-C164</f>
        <v/>
      </c>
    </row>
    <row r="165">
      <c r="A165" s="2" t="n">
        <v>164</v>
      </c>
      <c r="B165" s="3" t="n">
        <v>10</v>
      </c>
      <c r="C165" s="2">
        <f>C164+B165</f>
        <v/>
      </c>
      <c r="D165" s="3" t="n">
        <v>1</v>
      </c>
      <c r="E165" s="2">
        <f>MAX(C165,F164)</f>
        <v/>
      </c>
      <c r="F165" s="2">
        <f>E165+D165</f>
        <v/>
      </c>
      <c r="G165" s="2">
        <f>F165-C165</f>
        <v/>
      </c>
      <c r="H165" s="2">
        <f>MAX(0,C165-F164)</f>
        <v/>
      </c>
      <c r="I165" s="2">
        <f>E165-C165</f>
        <v/>
      </c>
    </row>
    <row r="166">
      <c r="A166" s="2" t="n">
        <v>165</v>
      </c>
      <c r="B166" s="3" t="n">
        <v>5</v>
      </c>
      <c r="C166" s="2">
        <f>C165+B166</f>
        <v/>
      </c>
      <c r="D166" s="3" t="n">
        <v>5</v>
      </c>
      <c r="E166" s="2">
        <f>MAX(C166,F165)</f>
        <v/>
      </c>
      <c r="F166" s="2">
        <f>E166+D166</f>
        <v/>
      </c>
      <c r="G166" s="2">
        <f>F166-C166</f>
        <v/>
      </c>
      <c r="H166" s="2">
        <f>MAX(0,C166-F165)</f>
        <v/>
      </c>
      <c r="I166" s="2">
        <f>E166-C166</f>
        <v/>
      </c>
    </row>
    <row r="167">
      <c r="A167" s="2" t="n">
        <v>166</v>
      </c>
      <c r="B167" s="3" t="n">
        <v>7</v>
      </c>
      <c r="C167" s="2">
        <f>C166+B167</f>
        <v/>
      </c>
      <c r="D167" s="3" t="n">
        <v>3</v>
      </c>
      <c r="E167" s="2">
        <f>MAX(C167,F166)</f>
        <v/>
      </c>
      <c r="F167" s="2">
        <f>E167+D167</f>
        <v/>
      </c>
      <c r="G167" s="2">
        <f>F167-C167</f>
        <v/>
      </c>
      <c r="H167" s="2">
        <f>MAX(0,C167-F166)</f>
        <v/>
      </c>
      <c r="I167" s="2">
        <f>E167-C167</f>
        <v/>
      </c>
    </row>
    <row r="168">
      <c r="A168" s="2" t="n">
        <v>167</v>
      </c>
      <c r="B168" s="3" t="n">
        <v>9</v>
      </c>
      <c r="C168" s="2">
        <f>C167+B168</f>
        <v/>
      </c>
      <c r="D168" s="3" t="n">
        <v>5</v>
      </c>
      <c r="E168" s="2">
        <f>MAX(C168,F167)</f>
        <v/>
      </c>
      <c r="F168" s="2">
        <f>E168+D168</f>
        <v/>
      </c>
      <c r="G168" s="2">
        <f>F168-C168</f>
        <v/>
      </c>
      <c r="H168" s="2">
        <f>MAX(0,C168-F167)</f>
        <v/>
      </c>
      <c r="I168" s="2">
        <f>E168-C168</f>
        <v/>
      </c>
    </row>
    <row r="169">
      <c r="A169" s="2" t="n">
        <v>168</v>
      </c>
      <c r="B169" s="3" t="n">
        <v>1</v>
      </c>
      <c r="C169" s="2">
        <f>C168+B169</f>
        <v/>
      </c>
      <c r="D169" s="3" t="n">
        <v>5</v>
      </c>
      <c r="E169" s="2">
        <f>MAX(C169,F168)</f>
        <v/>
      </c>
      <c r="F169" s="2">
        <f>E169+D169</f>
        <v/>
      </c>
      <c r="G169" s="2">
        <f>F169-C169</f>
        <v/>
      </c>
      <c r="H169" s="2">
        <f>MAX(0,C169-F168)</f>
        <v/>
      </c>
      <c r="I169" s="2">
        <f>E169-C169</f>
        <v/>
      </c>
    </row>
    <row r="170">
      <c r="A170" s="2" t="n">
        <v>169</v>
      </c>
      <c r="B170" s="3" t="n">
        <v>1</v>
      </c>
      <c r="C170" s="2">
        <f>C169+B170</f>
        <v/>
      </c>
      <c r="D170" s="3" t="n">
        <v>3</v>
      </c>
      <c r="E170" s="2">
        <f>MAX(C170,F169)</f>
        <v/>
      </c>
      <c r="F170" s="2">
        <f>E170+D170</f>
        <v/>
      </c>
      <c r="G170" s="2">
        <f>F170-C170</f>
        <v/>
      </c>
      <c r="H170" s="2">
        <f>MAX(0,C170-F169)</f>
        <v/>
      </c>
      <c r="I170" s="2">
        <f>E170-C170</f>
        <v/>
      </c>
    </row>
    <row r="171">
      <c r="A171" s="2" t="n">
        <v>170</v>
      </c>
      <c r="B171" s="3" t="n">
        <v>8</v>
      </c>
      <c r="C171" s="2">
        <f>C170+B171</f>
        <v/>
      </c>
      <c r="D171" s="3" t="n">
        <v>3</v>
      </c>
      <c r="E171" s="2">
        <f>MAX(C171,F170)</f>
        <v/>
      </c>
      <c r="F171" s="2">
        <f>E171+D171</f>
        <v/>
      </c>
      <c r="G171" s="2">
        <f>F171-C171</f>
        <v/>
      </c>
      <c r="H171" s="2">
        <f>MAX(0,C171-F170)</f>
        <v/>
      </c>
      <c r="I171" s="2">
        <f>E171-C171</f>
        <v/>
      </c>
    </row>
    <row r="172">
      <c r="A172" s="2" t="n">
        <v>171</v>
      </c>
      <c r="B172" s="3" t="n">
        <v>7</v>
      </c>
      <c r="C172" s="2">
        <f>C171+B172</f>
        <v/>
      </c>
      <c r="D172" s="3" t="n">
        <v>6</v>
      </c>
      <c r="E172" s="2">
        <f>MAX(C172,F171)</f>
        <v/>
      </c>
      <c r="F172" s="2">
        <f>E172+D172</f>
        <v/>
      </c>
      <c r="G172" s="2">
        <f>F172-C172</f>
        <v/>
      </c>
      <c r="H172" s="2">
        <f>MAX(0,C172-F171)</f>
        <v/>
      </c>
      <c r="I172" s="2">
        <f>E172-C172</f>
        <v/>
      </c>
    </row>
    <row r="173">
      <c r="A173" s="2" t="n">
        <v>172</v>
      </c>
      <c r="B173" s="3" t="n">
        <v>5</v>
      </c>
      <c r="C173" s="2">
        <f>C172+B173</f>
        <v/>
      </c>
      <c r="D173" s="3" t="n">
        <v>1</v>
      </c>
      <c r="E173" s="2">
        <f>MAX(C173,F172)</f>
        <v/>
      </c>
      <c r="F173" s="2">
        <f>E173+D173</f>
        <v/>
      </c>
      <c r="G173" s="2">
        <f>F173-C173</f>
        <v/>
      </c>
      <c r="H173" s="2">
        <f>MAX(0,C173-F172)</f>
        <v/>
      </c>
      <c r="I173" s="2">
        <f>E173-C173</f>
        <v/>
      </c>
    </row>
    <row r="174">
      <c r="A174" s="2" t="n">
        <v>173</v>
      </c>
      <c r="B174" s="3" t="n">
        <v>3</v>
      </c>
      <c r="C174" s="2">
        <f>C173+B174</f>
        <v/>
      </c>
      <c r="D174" s="3" t="n">
        <v>1</v>
      </c>
      <c r="E174" s="2">
        <f>MAX(C174,F173)</f>
        <v/>
      </c>
      <c r="F174" s="2">
        <f>E174+D174</f>
        <v/>
      </c>
      <c r="G174" s="2">
        <f>F174-C174</f>
        <v/>
      </c>
      <c r="H174" s="2">
        <f>MAX(0,C174-F173)</f>
        <v/>
      </c>
      <c r="I174" s="2">
        <f>E174-C174</f>
        <v/>
      </c>
    </row>
    <row r="175">
      <c r="A175" s="2" t="n">
        <v>174</v>
      </c>
      <c r="B175" s="3" t="n">
        <v>7</v>
      </c>
      <c r="C175" s="2">
        <f>C174+B175</f>
        <v/>
      </c>
      <c r="D175" s="3" t="n">
        <v>6</v>
      </c>
      <c r="E175" s="2">
        <f>MAX(C175,F174)</f>
        <v/>
      </c>
      <c r="F175" s="2">
        <f>E175+D175</f>
        <v/>
      </c>
      <c r="G175" s="2">
        <f>F175-C175</f>
        <v/>
      </c>
      <c r="H175" s="2">
        <f>MAX(0,C175-F174)</f>
        <v/>
      </c>
      <c r="I175" s="2">
        <f>E175-C175</f>
        <v/>
      </c>
    </row>
    <row r="176">
      <c r="A176" s="2" t="n">
        <v>175</v>
      </c>
      <c r="B176" s="3" t="n">
        <v>4</v>
      </c>
      <c r="C176" s="2">
        <f>C175+B176</f>
        <v/>
      </c>
      <c r="D176" s="3" t="n">
        <v>6</v>
      </c>
      <c r="E176" s="2">
        <f>MAX(C176,F175)</f>
        <v/>
      </c>
      <c r="F176" s="2">
        <f>E176+D176</f>
        <v/>
      </c>
      <c r="G176" s="2">
        <f>F176-C176</f>
        <v/>
      </c>
      <c r="H176" s="2">
        <f>MAX(0,C176-F175)</f>
        <v/>
      </c>
      <c r="I176" s="2">
        <f>E176-C176</f>
        <v/>
      </c>
    </row>
    <row r="177">
      <c r="A177" s="2" t="n">
        <v>176</v>
      </c>
      <c r="B177" s="3" t="n">
        <v>2</v>
      </c>
      <c r="C177" s="2">
        <f>C176+B177</f>
        <v/>
      </c>
      <c r="D177" s="3" t="n">
        <v>4</v>
      </c>
      <c r="E177" s="2">
        <f>MAX(C177,F176)</f>
        <v/>
      </c>
      <c r="F177" s="2">
        <f>E177+D177</f>
        <v/>
      </c>
      <c r="G177" s="2">
        <f>F177-C177</f>
        <v/>
      </c>
      <c r="H177" s="2">
        <f>MAX(0,C177-F176)</f>
        <v/>
      </c>
      <c r="I177" s="2">
        <f>E177-C177</f>
        <v/>
      </c>
    </row>
    <row r="178">
      <c r="A178" s="2" t="n">
        <v>177</v>
      </c>
      <c r="B178" s="3" t="n">
        <v>10</v>
      </c>
      <c r="C178" s="2">
        <f>C177+B178</f>
        <v/>
      </c>
      <c r="D178" s="3" t="n">
        <v>2</v>
      </c>
      <c r="E178" s="2">
        <f>MAX(C178,F177)</f>
        <v/>
      </c>
      <c r="F178" s="2">
        <f>E178+D178</f>
        <v/>
      </c>
      <c r="G178" s="2">
        <f>F178-C178</f>
        <v/>
      </c>
      <c r="H178" s="2">
        <f>MAX(0,C178-F177)</f>
        <v/>
      </c>
      <c r="I178" s="2">
        <f>E178-C178</f>
        <v/>
      </c>
    </row>
    <row r="179">
      <c r="A179" s="2" t="n">
        <v>178</v>
      </c>
      <c r="B179" s="3" t="n">
        <v>6</v>
      </c>
      <c r="C179" s="2">
        <f>C178+B179</f>
        <v/>
      </c>
      <c r="D179" s="3" t="n">
        <v>6</v>
      </c>
      <c r="E179" s="2">
        <f>MAX(C179,F178)</f>
        <v/>
      </c>
      <c r="F179" s="2">
        <f>E179+D179</f>
        <v/>
      </c>
      <c r="G179" s="2">
        <f>F179-C179</f>
        <v/>
      </c>
      <c r="H179" s="2">
        <f>MAX(0,C179-F178)</f>
        <v/>
      </c>
      <c r="I179" s="2">
        <f>E179-C179</f>
        <v/>
      </c>
    </row>
    <row r="180">
      <c r="A180" s="2" t="n">
        <v>179</v>
      </c>
      <c r="B180" s="3" t="n">
        <v>7</v>
      </c>
      <c r="C180" s="2">
        <f>C179+B180</f>
        <v/>
      </c>
      <c r="D180" s="3" t="n">
        <v>2</v>
      </c>
      <c r="E180" s="2">
        <f>MAX(C180,F179)</f>
        <v/>
      </c>
      <c r="F180" s="2">
        <f>E180+D180</f>
        <v/>
      </c>
      <c r="G180" s="2">
        <f>F180-C180</f>
        <v/>
      </c>
      <c r="H180" s="2">
        <f>MAX(0,C180-F179)</f>
        <v/>
      </c>
      <c r="I180" s="2">
        <f>E180-C180</f>
        <v/>
      </c>
    </row>
    <row r="181">
      <c r="A181" s="2" t="n">
        <v>180</v>
      </c>
      <c r="B181" s="3" t="n">
        <v>3</v>
      </c>
      <c r="C181" s="2">
        <f>C180+B181</f>
        <v/>
      </c>
      <c r="D181" s="3" t="n">
        <v>4</v>
      </c>
      <c r="E181" s="2">
        <f>MAX(C181,F180)</f>
        <v/>
      </c>
      <c r="F181" s="2">
        <f>E181+D181</f>
        <v/>
      </c>
      <c r="G181" s="2">
        <f>F181-C181</f>
        <v/>
      </c>
      <c r="H181" s="2">
        <f>MAX(0,C181-F180)</f>
        <v/>
      </c>
      <c r="I181" s="2">
        <f>E181-C181</f>
        <v/>
      </c>
    </row>
    <row r="182">
      <c r="A182" s="2" t="n">
        <v>181</v>
      </c>
      <c r="B182" s="3" t="n">
        <v>10</v>
      </c>
      <c r="C182" s="2">
        <f>C181+B182</f>
        <v/>
      </c>
      <c r="D182" s="3" t="n">
        <v>4</v>
      </c>
      <c r="E182" s="2">
        <f>MAX(C182,F181)</f>
        <v/>
      </c>
      <c r="F182" s="2">
        <f>E182+D182</f>
        <v/>
      </c>
      <c r="G182" s="2">
        <f>F182-C182</f>
        <v/>
      </c>
      <c r="H182" s="2">
        <f>MAX(0,C182-F181)</f>
        <v/>
      </c>
      <c r="I182" s="2">
        <f>E182-C182</f>
        <v/>
      </c>
    </row>
    <row r="183">
      <c r="A183" s="2" t="n">
        <v>182</v>
      </c>
      <c r="B183" s="3" t="n">
        <v>10</v>
      </c>
      <c r="C183" s="2">
        <f>C182+B183</f>
        <v/>
      </c>
      <c r="D183" s="3" t="n">
        <v>3</v>
      </c>
      <c r="E183" s="2">
        <f>MAX(C183,F182)</f>
        <v/>
      </c>
      <c r="F183" s="2">
        <f>E183+D183</f>
        <v/>
      </c>
      <c r="G183" s="2">
        <f>F183-C183</f>
        <v/>
      </c>
      <c r="H183" s="2">
        <f>MAX(0,C183-F182)</f>
        <v/>
      </c>
      <c r="I183" s="2">
        <f>E183-C183</f>
        <v/>
      </c>
    </row>
    <row r="184">
      <c r="A184" s="2" t="n">
        <v>183</v>
      </c>
      <c r="B184" s="3" t="n">
        <v>3</v>
      </c>
      <c r="C184" s="2">
        <f>C183+B184</f>
        <v/>
      </c>
      <c r="D184" s="3" t="n">
        <v>1</v>
      </c>
      <c r="E184" s="2">
        <f>MAX(C184,F183)</f>
        <v/>
      </c>
      <c r="F184" s="2">
        <f>E184+D184</f>
        <v/>
      </c>
      <c r="G184" s="2">
        <f>F184-C184</f>
        <v/>
      </c>
      <c r="H184" s="2">
        <f>MAX(0,C184-F183)</f>
        <v/>
      </c>
      <c r="I184" s="2">
        <f>E184-C184</f>
        <v/>
      </c>
    </row>
    <row r="185">
      <c r="A185" s="2" t="n">
        <v>184</v>
      </c>
      <c r="B185" s="3" t="n">
        <v>10</v>
      </c>
      <c r="C185" s="2">
        <f>C184+B185</f>
        <v/>
      </c>
      <c r="D185" s="3" t="n">
        <v>3</v>
      </c>
      <c r="E185" s="2">
        <f>MAX(C185,F184)</f>
        <v/>
      </c>
      <c r="F185" s="2">
        <f>E185+D185</f>
        <v/>
      </c>
      <c r="G185" s="2">
        <f>F185-C185</f>
        <v/>
      </c>
      <c r="H185" s="2">
        <f>MAX(0,C185-F184)</f>
        <v/>
      </c>
      <c r="I185" s="2">
        <f>E185-C185</f>
        <v/>
      </c>
    </row>
    <row r="186">
      <c r="A186" s="2" t="n">
        <v>185</v>
      </c>
      <c r="B186" s="3" t="n">
        <v>9</v>
      </c>
      <c r="C186" s="2">
        <f>C185+B186</f>
        <v/>
      </c>
      <c r="D186" s="3" t="n">
        <v>3</v>
      </c>
      <c r="E186" s="2">
        <f>MAX(C186,F185)</f>
        <v/>
      </c>
      <c r="F186" s="2">
        <f>E186+D186</f>
        <v/>
      </c>
      <c r="G186" s="2">
        <f>F186-C186</f>
        <v/>
      </c>
      <c r="H186" s="2">
        <f>MAX(0,C186-F185)</f>
        <v/>
      </c>
      <c r="I186" s="2">
        <f>E186-C186</f>
        <v/>
      </c>
    </row>
    <row r="187">
      <c r="A187" s="2" t="n">
        <v>186</v>
      </c>
      <c r="B187" s="3" t="n">
        <v>9</v>
      </c>
      <c r="C187" s="2">
        <f>C186+B187</f>
        <v/>
      </c>
      <c r="D187" s="3" t="n">
        <v>2</v>
      </c>
      <c r="E187" s="2">
        <f>MAX(C187,F186)</f>
        <v/>
      </c>
      <c r="F187" s="2">
        <f>E187+D187</f>
        <v/>
      </c>
      <c r="G187" s="2">
        <f>F187-C187</f>
        <v/>
      </c>
      <c r="H187" s="2">
        <f>MAX(0,C187-F186)</f>
        <v/>
      </c>
      <c r="I187" s="2">
        <f>E187-C187</f>
        <v/>
      </c>
    </row>
    <row r="188">
      <c r="A188" s="2" t="n">
        <v>187</v>
      </c>
      <c r="B188" s="3" t="n">
        <v>5</v>
      </c>
      <c r="C188" s="2">
        <f>C187+B188</f>
        <v/>
      </c>
      <c r="D188" s="3" t="n">
        <v>2</v>
      </c>
      <c r="E188" s="2">
        <f>MAX(C188,F187)</f>
        <v/>
      </c>
      <c r="F188" s="2">
        <f>E188+D188</f>
        <v/>
      </c>
      <c r="G188" s="2">
        <f>F188-C188</f>
        <v/>
      </c>
      <c r="H188" s="2">
        <f>MAX(0,C188-F187)</f>
        <v/>
      </c>
      <c r="I188" s="2">
        <f>E188-C188</f>
        <v/>
      </c>
    </row>
    <row r="189">
      <c r="A189" s="2" t="n">
        <v>188</v>
      </c>
      <c r="B189" s="3" t="n">
        <v>3</v>
      </c>
      <c r="C189" s="2">
        <f>C188+B189</f>
        <v/>
      </c>
      <c r="D189" s="3" t="n">
        <v>4</v>
      </c>
      <c r="E189" s="2">
        <f>MAX(C189,F188)</f>
        <v/>
      </c>
      <c r="F189" s="2">
        <f>E189+D189</f>
        <v/>
      </c>
      <c r="G189" s="2">
        <f>F189-C189</f>
        <v/>
      </c>
      <c r="H189" s="2">
        <f>MAX(0,C189-F188)</f>
        <v/>
      </c>
      <c r="I189" s="2">
        <f>E189-C189</f>
        <v/>
      </c>
    </row>
    <row r="190">
      <c r="A190" s="2" t="n">
        <v>189</v>
      </c>
      <c r="B190" s="3" t="n">
        <v>2</v>
      </c>
      <c r="C190" s="2">
        <f>C189+B190</f>
        <v/>
      </c>
      <c r="D190" s="3" t="n">
        <v>6</v>
      </c>
      <c r="E190" s="2">
        <f>MAX(C190,F189)</f>
        <v/>
      </c>
      <c r="F190" s="2">
        <f>E190+D190</f>
        <v/>
      </c>
      <c r="G190" s="2">
        <f>F190-C190</f>
        <v/>
      </c>
      <c r="H190" s="2">
        <f>MAX(0,C190-F189)</f>
        <v/>
      </c>
      <c r="I190" s="2">
        <f>E190-C190</f>
        <v/>
      </c>
    </row>
    <row r="191">
      <c r="A191" s="2" t="n">
        <v>190</v>
      </c>
      <c r="B191" s="3" t="n">
        <v>6</v>
      </c>
      <c r="C191" s="2">
        <f>C190+B191</f>
        <v/>
      </c>
      <c r="D191" s="3" t="n">
        <v>1</v>
      </c>
      <c r="E191" s="2">
        <f>MAX(C191,F190)</f>
        <v/>
      </c>
      <c r="F191" s="2">
        <f>E191+D191</f>
        <v/>
      </c>
      <c r="G191" s="2">
        <f>F191-C191</f>
        <v/>
      </c>
      <c r="H191" s="2">
        <f>MAX(0,C191-F190)</f>
        <v/>
      </c>
      <c r="I191" s="2">
        <f>E191-C191</f>
        <v/>
      </c>
    </row>
    <row r="192">
      <c r="A192" s="2" t="n">
        <v>191</v>
      </c>
      <c r="B192" s="3" t="n">
        <v>5</v>
      </c>
      <c r="C192" s="2">
        <f>C191+B192</f>
        <v/>
      </c>
      <c r="D192" s="3" t="n">
        <v>6</v>
      </c>
      <c r="E192" s="2">
        <f>MAX(C192,F191)</f>
        <v/>
      </c>
      <c r="F192" s="2">
        <f>E192+D192</f>
        <v/>
      </c>
      <c r="G192" s="2">
        <f>F192-C192</f>
        <v/>
      </c>
      <c r="H192" s="2">
        <f>MAX(0,C192-F191)</f>
        <v/>
      </c>
      <c r="I192" s="2">
        <f>E192-C192</f>
        <v/>
      </c>
    </row>
    <row r="193">
      <c r="A193" s="2" t="n">
        <v>192</v>
      </c>
      <c r="B193" s="3" t="n">
        <v>7</v>
      </c>
      <c r="C193" s="2">
        <f>C192+B193</f>
        <v/>
      </c>
      <c r="D193" s="3" t="n">
        <v>4</v>
      </c>
      <c r="E193" s="2">
        <f>MAX(C193,F192)</f>
        <v/>
      </c>
      <c r="F193" s="2">
        <f>E193+D193</f>
        <v/>
      </c>
      <c r="G193" s="2">
        <f>F193-C193</f>
        <v/>
      </c>
      <c r="H193" s="2">
        <f>MAX(0,C193-F192)</f>
        <v/>
      </c>
      <c r="I193" s="2">
        <f>E193-C193</f>
        <v/>
      </c>
    </row>
    <row r="194">
      <c r="A194" s="2" t="n">
        <v>193</v>
      </c>
      <c r="B194" s="3" t="n">
        <v>7</v>
      </c>
      <c r="C194" s="2">
        <f>C193+B194</f>
        <v/>
      </c>
      <c r="D194" s="3" t="n">
        <v>6</v>
      </c>
      <c r="E194" s="2">
        <f>MAX(C194,F193)</f>
        <v/>
      </c>
      <c r="F194" s="2">
        <f>E194+D194</f>
        <v/>
      </c>
      <c r="G194" s="2">
        <f>F194-C194</f>
        <v/>
      </c>
      <c r="H194" s="2">
        <f>MAX(0,C194-F193)</f>
        <v/>
      </c>
      <c r="I194" s="2">
        <f>E194-C194</f>
        <v/>
      </c>
    </row>
    <row r="195">
      <c r="A195" s="2" t="n">
        <v>194</v>
      </c>
      <c r="B195" s="3" t="n">
        <v>3</v>
      </c>
      <c r="C195" s="2">
        <f>C194+B195</f>
        <v/>
      </c>
      <c r="D195" s="3" t="n">
        <v>1</v>
      </c>
      <c r="E195" s="2">
        <f>MAX(C195,F194)</f>
        <v/>
      </c>
      <c r="F195" s="2">
        <f>E195+D195</f>
        <v/>
      </c>
      <c r="G195" s="2">
        <f>F195-C195</f>
        <v/>
      </c>
      <c r="H195" s="2">
        <f>MAX(0,C195-F194)</f>
        <v/>
      </c>
      <c r="I195" s="2">
        <f>E195-C195</f>
        <v/>
      </c>
    </row>
    <row r="196">
      <c r="A196" s="2" t="n">
        <v>195</v>
      </c>
      <c r="B196" s="3" t="n">
        <v>7</v>
      </c>
      <c r="C196" s="2">
        <f>C195+B196</f>
        <v/>
      </c>
      <c r="D196" s="3" t="n">
        <v>1</v>
      </c>
      <c r="E196" s="2">
        <f>MAX(C196,F195)</f>
        <v/>
      </c>
      <c r="F196" s="2">
        <f>E196+D196</f>
        <v/>
      </c>
      <c r="G196" s="2">
        <f>F196-C196</f>
        <v/>
      </c>
      <c r="H196" s="2">
        <f>MAX(0,C196-F195)</f>
        <v/>
      </c>
      <c r="I196" s="2">
        <f>E196-C196</f>
        <v/>
      </c>
    </row>
    <row r="197">
      <c r="A197" s="2" t="n">
        <v>196</v>
      </c>
      <c r="B197" s="3" t="n">
        <v>5</v>
      </c>
      <c r="C197" s="2">
        <f>C196+B197</f>
        <v/>
      </c>
      <c r="D197" s="3" t="n">
        <v>5</v>
      </c>
      <c r="E197" s="2">
        <f>MAX(C197,F196)</f>
        <v/>
      </c>
      <c r="F197" s="2">
        <f>E197+D197</f>
        <v/>
      </c>
      <c r="G197" s="2">
        <f>F197-C197</f>
        <v/>
      </c>
      <c r="H197" s="2">
        <f>MAX(0,C197-F196)</f>
        <v/>
      </c>
      <c r="I197" s="2">
        <f>E197-C197</f>
        <v/>
      </c>
    </row>
    <row r="198">
      <c r="A198" s="2" t="n">
        <v>197</v>
      </c>
      <c r="B198" s="3" t="n">
        <v>7</v>
      </c>
      <c r="C198" s="2">
        <f>C197+B198</f>
        <v/>
      </c>
      <c r="D198" s="3" t="n">
        <v>3</v>
      </c>
      <c r="E198" s="2">
        <f>MAX(C198,F197)</f>
        <v/>
      </c>
      <c r="F198" s="2">
        <f>E198+D198</f>
        <v/>
      </c>
      <c r="G198" s="2">
        <f>F198-C198</f>
        <v/>
      </c>
      <c r="H198" s="2">
        <f>MAX(0,C198-F197)</f>
        <v/>
      </c>
      <c r="I198" s="2">
        <f>E198-C198</f>
        <v/>
      </c>
    </row>
    <row r="199">
      <c r="A199" s="2" t="n">
        <v>198</v>
      </c>
      <c r="B199" s="3" t="n">
        <v>2</v>
      </c>
      <c r="C199" s="2">
        <f>C198+B199</f>
        <v/>
      </c>
      <c r="D199" s="3" t="n">
        <v>1</v>
      </c>
      <c r="E199" s="2">
        <f>MAX(C199,F198)</f>
        <v/>
      </c>
      <c r="F199" s="2">
        <f>E199+D199</f>
        <v/>
      </c>
      <c r="G199" s="2">
        <f>F199-C199</f>
        <v/>
      </c>
      <c r="H199" s="2">
        <f>MAX(0,C199-F198)</f>
        <v/>
      </c>
      <c r="I199" s="2">
        <f>E199-C199</f>
        <v/>
      </c>
    </row>
    <row r="200">
      <c r="A200" s="2" t="n">
        <v>199</v>
      </c>
      <c r="B200" s="3" t="n">
        <v>6</v>
      </c>
      <c r="C200" s="2">
        <f>C199+B200</f>
        <v/>
      </c>
      <c r="D200" s="3" t="n">
        <v>5</v>
      </c>
      <c r="E200" s="2">
        <f>MAX(C200,F199)</f>
        <v/>
      </c>
      <c r="F200" s="2">
        <f>E200+D200</f>
        <v/>
      </c>
      <c r="G200" s="2">
        <f>F200-C200</f>
        <v/>
      </c>
      <c r="H200" s="2">
        <f>MAX(0,C200-F199)</f>
        <v/>
      </c>
      <c r="I200" s="2">
        <f>E200-C200</f>
        <v/>
      </c>
    </row>
    <row r="201">
      <c r="A201" s="2" t="n">
        <v>200</v>
      </c>
      <c r="B201" s="3" t="n">
        <v>3</v>
      </c>
      <c r="C201" s="2">
        <f>C200+B201</f>
        <v/>
      </c>
      <c r="D201" s="3" t="n">
        <v>5</v>
      </c>
      <c r="E201" s="2">
        <f>MAX(C201,F200)</f>
        <v/>
      </c>
      <c r="F201" s="2">
        <f>E201+D201</f>
        <v/>
      </c>
      <c r="G201" s="2">
        <f>F201-C201</f>
        <v/>
      </c>
      <c r="H201" s="2">
        <f>MAX(0,C201-F200)</f>
        <v/>
      </c>
      <c r="I201" s="2">
        <f>E201-C201</f>
        <v/>
      </c>
    </row>
    <row r="202">
      <c r="F202" s="8" t="inlineStr">
        <is>
          <t>Sum</t>
        </is>
      </c>
      <c r="G202" s="9">
        <f>SUM(G2:G201)</f>
        <v/>
      </c>
      <c r="H202" s="9">
        <f>SUM(H2:H201)</f>
        <v/>
      </c>
      <c r="I202" s="9">
        <f>SUM(I2:I201)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4" customWidth="1" min="3" max="3"/>
    <col width="16" customWidth="1" min="4" max="4"/>
    <col width="14" customWidth="1" min="5" max="5"/>
    <col width="18" customWidth="1" min="6" max="6"/>
  </cols>
  <sheetData>
    <row r="1" ht="42" customHeight="1">
      <c r="A1" s="1" t="inlineStr">
        <is>
          <t>Run</t>
        </is>
      </c>
      <c r="B1" s="1" t="inlineStr">
        <is>
          <t>Average time in system:</t>
        </is>
      </c>
      <c r="C1" s="1" t="inlineStr">
        <is>
          <t>Percent idle time:</t>
        </is>
      </c>
      <c r="D1" s="1" t="inlineStr">
        <is>
          <t>Average waiting time per customer:</t>
        </is>
      </c>
      <c r="E1" s="1" t="inlineStr">
        <is>
          <t>Fraction having to wait:</t>
        </is>
      </c>
      <c r="F1" s="1" t="inlineStr">
        <is>
          <t>Average waiting time of those who waited:</t>
        </is>
      </c>
    </row>
    <row r="2">
      <c r="A2" s="2" t="n">
        <v>1</v>
      </c>
      <c r="B2" s="10" t="n">
        <v>4.705</v>
      </c>
      <c r="C2" s="10" t="n">
        <v>0.359375</v>
      </c>
      <c r="D2" s="10" t="n">
        <v>1.22</v>
      </c>
      <c r="E2" s="10" t="n">
        <v>0.37</v>
      </c>
      <c r="F2" s="10" t="n">
        <v>3.297297</v>
      </c>
    </row>
    <row r="3">
      <c r="A3" s="2" t="n">
        <v>2</v>
      </c>
      <c r="B3" s="10" t="n">
        <v>4.785</v>
      </c>
      <c r="C3" s="10" t="n">
        <v>0.326511</v>
      </c>
      <c r="D3" s="10" t="n">
        <v>1.33</v>
      </c>
      <c r="E3" s="10" t="n">
        <v>0.4</v>
      </c>
      <c r="F3" s="10" t="n">
        <v>3.325</v>
      </c>
    </row>
    <row r="4">
      <c r="A4" s="2" t="n">
        <v>3</v>
      </c>
      <c r="B4" s="10" t="n">
        <v>4.79</v>
      </c>
      <c r="C4" s="10" t="n">
        <v>0.347867</v>
      </c>
      <c r="D4" s="10" t="n">
        <v>1.35</v>
      </c>
      <c r="E4" s="10" t="n">
        <v>0.43</v>
      </c>
      <c r="F4" s="10" t="n">
        <v>3.139535</v>
      </c>
    </row>
    <row r="5">
      <c r="A5" s="2" t="n">
        <v>4</v>
      </c>
      <c r="B5" s="10" t="n">
        <v>4.505</v>
      </c>
      <c r="C5" s="10" t="n">
        <v>0.351402</v>
      </c>
      <c r="D5" s="10" t="n">
        <v>1.035</v>
      </c>
      <c r="E5" s="10" t="n">
        <v>0.315</v>
      </c>
      <c r="F5" s="10" t="n">
        <v>3.285714</v>
      </c>
    </row>
    <row r="6">
      <c r="A6" s="2" t="n">
        <v>5</v>
      </c>
      <c r="B6" s="10" t="n">
        <v>4.345</v>
      </c>
      <c r="C6" s="10" t="n">
        <v>0.407341</v>
      </c>
      <c r="D6" s="10" t="n">
        <v>1.035</v>
      </c>
      <c r="E6" s="10" t="n">
        <v>0.345</v>
      </c>
      <c r="F6" s="10" t="n">
        <v>3</v>
      </c>
    </row>
    <row r="7">
      <c r="A7" s="2" t="n">
        <v>6</v>
      </c>
      <c r="B7" s="10" t="n">
        <v>4.105</v>
      </c>
      <c r="C7" s="10" t="n">
        <v>0.411318</v>
      </c>
      <c r="D7" s="10" t="n">
        <v>0.62</v>
      </c>
      <c r="E7" s="10" t="n">
        <v>0.24</v>
      </c>
      <c r="F7" s="10" t="n">
        <v>2.583333</v>
      </c>
    </row>
    <row r="8">
      <c r="A8" s="2" t="n">
        <v>7</v>
      </c>
      <c r="B8" s="10" t="n">
        <v>4.505</v>
      </c>
      <c r="C8" s="10" t="n">
        <v>0.343925</v>
      </c>
      <c r="D8" s="10" t="n">
        <v>0.995</v>
      </c>
      <c r="E8" s="10" t="n">
        <v>0.345</v>
      </c>
      <c r="F8" s="10" t="n">
        <v>2.884058</v>
      </c>
    </row>
    <row r="9">
      <c r="A9" s="2" t="n">
        <v>8</v>
      </c>
      <c r="B9" s="10" t="n">
        <v>4.515</v>
      </c>
      <c r="C9" s="10" t="n">
        <v>0.369272</v>
      </c>
      <c r="D9" s="10" t="n">
        <v>1.005</v>
      </c>
      <c r="E9" s="10" t="n">
        <v>0.33</v>
      </c>
      <c r="F9" s="10" t="n">
        <v>3.045455</v>
      </c>
    </row>
    <row r="10">
      <c r="A10" s="2" t="n">
        <v>9</v>
      </c>
      <c r="B10" s="10" t="n">
        <v>5.05</v>
      </c>
      <c r="C10" s="10" t="n">
        <v>0.336735</v>
      </c>
      <c r="D10" s="10" t="n">
        <v>1.475</v>
      </c>
      <c r="E10" s="10" t="n">
        <v>0.405</v>
      </c>
      <c r="F10" s="10" t="n">
        <v>3.641975</v>
      </c>
    </row>
    <row r="11">
      <c r="A11" s="2" t="n">
        <v>10</v>
      </c>
      <c r="B11" s="10" t="n">
        <v>4.695</v>
      </c>
      <c r="C11" s="10" t="n">
        <v>0.35315</v>
      </c>
      <c r="D11" s="10" t="n">
        <v>1.05</v>
      </c>
      <c r="E11" s="10" t="n">
        <v>0.365</v>
      </c>
      <c r="F11" s="10" t="n">
        <v>2.876712</v>
      </c>
    </row>
    <row r="13">
      <c r="A13" s="5" t="inlineStr">
        <is>
          <t>Sample mean (X barra)</t>
        </is>
      </c>
      <c r="B13" s="6">
        <f>AVERAGE(B2:B11)</f>
        <v/>
      </c>
      <c r="C13" s="6">
        <f>AVERAGE(C2:C11)</f>
        <v/>
      </c>
      <c r="D13" s="6">
        <f>AVERAGE(D2:D11)</f>
        <v/>
      </c>
      <c r="E13" s="6">
        <f>AVERAGE(E2:E11)</f>
        <v/>
      </c>
      <c r="F13" s="6">
        <f>AVERAGE(F2:F11)</f>
        <v/>
      </c>
    </row>
    <row r="14">
      <c r="A14" s="5" t="inlineStr">
        <is>
          <t>Sample std. dev. (S)</t>
        </is>
      </c>
      <c r="B14" s="6">
        <f>STDEV(B2:B11)</f>
        <v/>
      </c>
      <c r="C14" s="6">
        <f>STDEV(C2:C11)</f>
        <v/>
      </c>
      <c r="D14" s="6">
        <f>STDEV(D2:D11)</f>
        <v/>
      </c>
      <c r="E14" s="6">
        <f>STDEV(E2:E11)</f>
        <v/>
      </c>
      <c r="F14" s="6">
        <f>STDEV(F2:F11)</f>
        <v/>
      </c>
    </row>
    <row r="15">
      <c r="A15" s="5" t="inlineStr">
        <is>
          <t>t (95%, 9 gl)</t>
        </is>
      </c>
      <c r="B15" s="6">
        <f>T.INV.2T(0.05,9)</f>
        <v/>
      </c>
      <c r="C15" s="6">
        <f>T.INV.2T(0.05,9)</f>
        <v/>
      </c>
      <c r="D15" s="6">
        <f>T.INV.2T(0.05,9)</f>
        <v/>
      </c>
      <c r="E15" s="6">
        <f>T.INV.2T(0.05,9)</f>
        <v/>
      </c>
      <c r="F15" s="6">
        <f>T.INV.2T(0.05,9)</f>
        <v/>
      </c>
    </row>
    <row r="16">
      <c r="A16" s="5" t="inlineStr">
        <is>
          <t>h 95%</t>
        </is>
      </c>
      <c r="B16" s="6">
        <f>B15*B14/SQRT(10)</f>
        <v/>
      </c>
      <c r="C16" s="6">
        <f>C15*C14/SQRT(10)</f>
        <v/>
      </c>
      <c r="D16" s="6">
        <f>D15*D14/SQRT(10)</f>
        <v/>
      </c>
      <c r="E16" s="6">
        <f>E15*E14/SQRT(10)</f>
        <v/>
      </c>
      <c r="F16" s="6">
        <f>F15*F14/SQRT(10)</f>
        <v/>
      </c>
    </row>
    <row r="17">
      <c r="A17" s="5" t="inlineStr">
        <is>
          <t>IC 95% inferior</t>
        </is>
      </c>
      <c r="B17" s="6">
        <f>B13-B16</f>
        <v/>
      </c>
      <c r="C17" s="6">
        <f>C13-C16</f>
        <v/>
      </c>
      <c r="D17" s="6">
        <f>D13-D16</f>
        <v/>
      </c>
      <c r="E17" s="6">
        <f>E13-E16</f>
        <v/>
      </c>
      <c r="F17" s="6">
        <f>F13-F16</f>
        <v/>
      </c>
    </row>
    <row r="18">
      <c r="A18" s="5" t="inlineStr">
        <is>
          <t>IC 95% superior</t>
        </is>
      </c>
      <c r="B18" s="6">
        <f>B13+B16</f>
        <v/>
      </c>
      <c r="C18" s="6">
        <f>C13+C16</f>
        <v/>
      </c>
      <c r="D18" s="6">
        <f>D13+D16</f>
        <v/>
      </c>
      <c r="E18" s="6">
        <f>E13+E16</f>
        <v/>
      </c>
      <c r="F18" s="6">
        <f>F13+F16</f>
        <v/>
      </c>
    </row>
    <row r="19">
      <c r="A19" s="5" t="inlineStr">
        <is>
          <t>t (99%, 9 gl)</t>
        </is>
      </c>
      <c r="B19" s="6">
        <f>T.INV.2T(0.01,9)</f>
        <v/>
      </c>
      <c r="C19" s="6">
        <f>T.INV.2T(0.01,9)</f>
        <v/>
      </c>
      <c r="D19" s="6">
        <f>T.INV.2T(0.01,9)</f>
        <v/>
      </c>
      <c r="E19" s="6">
        <f>T.INV.2T(0.01,9)</f>
        <v/>
      </c>
      <c r="F19" s="6">
        <f>T.INV.2T(0.01,9)</f>
        <v/>
      </c>
    </row>
    <row r="20">
      <c r="A20" s="5" t="inlineStr">
        <is>
          <t>h 99%</t>
        </is>
      </c>
      <c r="B20" s="6">
        <f>B19*B14/SQRT(10)</f>
        <v/>
      </c>
      <c r="C20" s="6">
        <f>C19*C14/SQRT(10)</f>
        <v/>
      </c>
      <c r="D20" s="6">
        <f>D19*D14/SQRT(10)</f>
        <v/>
      </c>
      <c r="E20" s="6">
        <f>E19*E14/SQRT(10)</f>
        <v/>
      </c>
      <c r="F20" s="6">
        <f>F19*F14/SQRT(10)</f>
        <v/>
      </c>
    </row>
    <row r="21">
      <c r="A21" s="5" t="inlineStr">
        <is>
          <t>IC 99% inferior</t>
        </is>
      </c>
      <c r="B21" s="6">
        <f>B13-B20</f>
        <v/>
      </c>
      <c r="C21" s="6">
        <f>C13-C20</f>
        <v/>
      </c>
      <c r="D21" s="6">
        <f>D13-D20</f>
        <v/>
      </c>
      <c r="E21" s="6">
        <f>E13-E20</f>
        <v/>
      </c>
      <c r="F21" s="6">
        <f>F13-F20</f>
        <v/>
      </c>
    </row>
    <row r="22">
      <c r="A22" s="5" t="inlineStr">
        <is>
          <t>IC 99% superior</t>
        </is>
      </c>
      <c r="B22" s="6">
        <f>B13+B20</f>
        <v/>
      </c>
      <c r="C22" s="6">
        <f>C13+C20</f>
        <v/>
      </c>
      <c r="D22" s="6">
        <f>D13+D20</f>
        <v/>
      </c>
      <c r="E22" s="6">
        <f>E13+E20</f>
        <v/>
      </c>
      <c r="F22" s="6">
        <f>F13+F20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2026-08-17T19:26:29Z</dcterms:created>
  <dcterms:modified xmlns:dcterms="http://purl.org/dc/terms/" xmlns:xsi="http://www.w3.org/2001/XMLSchema-instance" xsi:type="dcterms:W3CDTF">2026-08-17T19:26:29Z</dcterms:modified>
</cp:coreProperties>
</file>