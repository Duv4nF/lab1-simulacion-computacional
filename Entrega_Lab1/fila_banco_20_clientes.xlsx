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10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pivotButton="0" quotePrefix="0" xfId="0"/>
    <xf numFmtId="164" fontId="0" fillId="4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2" customWidth="1" min="5" max="5"/>
    <col width="13" customWidth="1" min="6" max="6"/>
    <col width="12" customWidth="1" min="7" max="7"/>
    <col width="10" customWidth="1" min="8" max="8"/>
    <col width="11" customWidth="1" min="9" max="9"/>
    <col width="3" customWidth="1" min="10" max="10"/>
    <col width="42" customWidth="1" min="11" max="11"/>
    <col width="12" customWidth="1" min="12" max="12"/>
  </cols>
  <sheetData>
    <row r="1" ht="34" customHeight="1">
      <c r="A1" s="1" t="inlineStr">
        <is>
          <t>Customer</t>
        </is>
      </c>
      <c r="B1" s="1" t="inlineStr">
        <is>
          <t>Time Between Arrivals</t>
        </is>
      </c>
      <c r="C1" s="1" t="inlineStr">
        <is>
          <t>Arrival Time</t>
        </is>
      </c>
      <c r="D1" s="1" t="inlineStr">
        <is>
          <t>Service Time</t>
        </is>
      </c>
      <c r="E1" s="1" t="inlineStr">
        <is>
          <t>Service Begins</t>
        </is>
      </c>
      <c r="F1" s="1" t="inlineStr">
        <is>
          <t>Time Service Ends</t>
        </is>
      </c>
      <c r="G1" s="1" t="inlineStr">
        <is>
          <t>Time in System</t>
        </is>
      </c>
      <c r="H1" s="1" t="inlineStr">
        <is>
          <t>Idle Time</t>
        </is>
      </c>
      <c r="I1" s="1" t="inlineStr">
        <is>
          <t>Time in Queue</t>
        </is>
      </c>
    </row>
    <row r="2">
      <c r="A2" s="2" t="n">
        <v>1</v>
      </c>
      <c r="B2" s="3" t="inlineStr">
        <is>
          <t>-</t>
        </is>
      </c>
      <c r="C2" s="2" t="n">
        <v>0</v>
      </c>
      <c r="D2" s="3" t="n">
        <v>2</v>
      </c>
      <c r="E2" s="2">
        <f>C2</f>
        <v/>
      </c>
      <c r="F2" s="2">
        <f>E2+D2</f>
        <v/>
      </c>
      <c r="G2" s="2">
        <f>F2-C2</f>
        <v/>
      </c>
      <c r="H2" s="2" t="n">
        <v>0</v>
      </c>
      <c r="I2" s="2">
        <f>E2-C2</f>
        <v/>
      </c>
      <c r="K2" s="4" t="inlineStr">
        <is>
          <t>MEDIDAS DE DESEMPEÑO</t>
        </is>
      </c>
    </row>
    <row r="3">
      <c r="A3" s="2" t="n">
        <v>2</v>
      </c>
      <c r="B3" s="3" t="n">
        <v>3</v>
      </c>
      <c r="C3" s="2">
        <f>C2+B3</f>
        <v/>
      </c>
      <c r="D3" s="3" t="n">
        <v>3</v>
      </c>
      <c r="E3" s="2">
        <f>MAX(C3,F2)</f>
        <v/>
      </c>
      <c r="F3" s="2">
        <f>E3+D3</f>
        <v/>
      </c>
      <c r="G3" s="2">
        <f>F3-C3</f>
        <v/>
      </c>
      <c r="H3" s="2">
        <f>MAX(0,C3-F2)</f>
        <v/>
      </c>
      <c r="I3" s="2">
        <f>E3-C3</f>
        <v/>
      </c>
    </row>
    <row r="4">
      <c r="A4" s="2" t="n">
        <v>3</v>
      </c>
      <c r="B4" s="3" t="n">
        <v>7</v>
      </c>
      <c r="C4" s="2">
        <f>C3+B4</f>
        <v/>
      </c>
      <c r="D4" s="3" t="n">
        <v>1</v>
      </c>
      <c r="E4" s="2">
        <f>MAX(C4,F3)</f>
        <v/>
      </c>
      <c r="F4" s="2">
        <f>E4+D4</f>
        <v/>
      </c>
      <c r="G4" s="2">
        <f>F4-C4</f>
        <v/>
      </c>
      <c r="H4" s="2">
        <f>MAX(0,C4-F3)</f>
        <v/>
      </c>
      <c r="I4" s="2">
        <f>E4-C4</f>
        <v/>
      </c>
      <c r="K4" s="5" t="inlineStr">
        <is>
          <t>Average time in system:</t>
        </is>
      </c>
      <c r="L4" s="6">
        <f>G22/20</f>
        <v/>
      </c>
    </row>
    <row r="5">
      <c r="A5" s="2" t="n">
        <v>4</v>
      </c>
      <c r="B5" s="3" t="n">
        <v>8</v>
      </c>
      <c r="C5" s="2">
        <f>C4+B5</f>
        <v/>
      </c>
      <c r="D5" s="3" t="n">
        <v>3</v>
      </c>
      <c r="E5" s="2">
        <f>MAX(C5,F4)</f>
        <v/>
      </c>
      <c r="F5" s="2">
        <f>E5+D5</f>
        <v/>
      </c>
      <c r="G5" s="2">
        <f>F5-C5</f>
        <v/>
      </c>
      <c r="H5" s="2">
        <f>MAX(0,C5-F4)</f>
        <v/>
      </c>
      <c r="I5" s="2">
        <f>E5-C5</f>
        <v/>
      </c>
      <c r="K5" s="5" t="inlineStr">
        <is>
          <t>Percent idle time:</t>
        </is>
      </c>
      <c r="L5" s="7">
        <f>H22/F21</f>
        <v/>
      </c>
    </row>
    <row r="6">
      <c r="A6" s="2" t="n">
        <v>5</v>
      </c>
      <c r="B6" s="3" t="n">
        <v>10</v>
      </c>
      <c r="C6" s="2">
        <f>C5+B6</f>
        <v/>
      </c>
      <c r="D6" s="3" t="n">
        <v>5</v>
      </c>
      <c r="E6" s="2">
        <f>MAX(C6,F5)</f>
        <v/>
      </c>
      <c r="F6" s="2">
        <f>E6+D6</f>
        <v/>
      </c>
      <c r="G6" s="2">
        <f>F6-C6</f>
        <v/>
      </c>
      <c r="H6" s="2">
        <f>MAX(0,C6-F5)</f>
        <v/>
      </c>
      <c r="I6" s="2">
        <f>E6-C6</f>
        <v/>
      </c>
      <c r="K6" s="5" t="inlineStr">
        <is>
          <t>Average waiting time per customer:</t>
        </is>
      </c>
      <c r="L6" s="6">
        <f>I22/20</f>
        <v/>
      </c>
    </row>
    <row r="7">
      <c r="A7" s="2" t="n">
        <v>6</v>
      </c>
      <c r="B7" s="3" t="n">
        <v>9</v>
      </c>
      <c r="C7" s="2">
        <f>C6+B7</f>
        <v/>
      </c>
      <c r="D7" s="3" t="n">
        <v>2</v>
      </c>
      <c r="E7" s="2">
        <f>MAX(C7,F6)</f>
        <v/>
      </c>
      <c r="F7" s="2">
        <f>E7+D7</f>
        <v/>
      </c>
      <c r="G7" s="2">
        <f>F7-C7</f>
        <v/>
      </c>
      <c r="H7" s="2">
        <f>MAX(0,C7-F6)</f>
        <v/>
      </c>
      <c r="I7" s="2">
        <f>E7-C7</f>
        <v/>
      </c>
      <c r="K7" s="5" t="inlineStr">
        <is>
          <t>Fraction having to wait:</t>
        </is>
      </c>
      <c r="L7" s="6">
        <f>COUNTIF(I2:I21,"&gt;0")/20</f>
        <v/>
      </c>
    </row>
    <row r="8">
      <c r="A8" s="2" t="n">
        <v>7</v>
      </c>
      <c r="B8" s="3" t="n">
        <v>1</v>
      </c>
      <c r="C8" s="2">
        <f>C7+B8</f>
        <v/>
      </c>
      <c r="D8" s="3" t="n">
        <v>4</v>
      </c>
      <c r="E8" s="2">
        <f>MAX(C8,F7)</f>
        <v/>
      </c>
      <c r="F8" s="2">
        <f>E8+D8</f>
        <v/>
      </c>
      <c r="G8" s="2">
        <f>F8-C8</f>
        <v/>
      </c>
      <c r="H8" s="2">
        <f>MAX(0,C8-F7)</f>
        <v/>
      </c>
      <c r="I8" s="2">
        <f>E8-C8</f>
        <v/>
      </c>
      <c r="K8" s="5" t="inlineStr">
        <is>
          <t>Average waiting time of those who waited:</t>
        </is>
      </c>
      <c r="L8" s="6">
        <f>I22/COUNTIF(I2:I21,"&gt;0")</f>
        <v/>
      </c>
    </row>
    <row r="9">
      <c r="A9" s="2" t="n">
        <v>8</v>
      </c>
      <c r="B9" s="3" t="n">
        <v>2</v>
      </c>
      <c r="C9" s="2">
        <f>C8+B9</f>
        <v/>
      </c>
      <c r="D9" s="3" t="n">
        <v>3</v>
      </c>
      <c r="E9" s="2">
        <f>MAX(C9,F8)</f>
        <v/>
      </c>
      <c r="F9" s="2">
        <f>E9+D9</f>
        <v/>
      </c>
      <c r="G9" s="2">
        <f>F9-C9</f>
        <v/>
      </c>
      <c r="H9" s="2">
        <f>MAX(0,C9-F8)</f>
        <v/>
      </c>
      <c r="I9" s="2">
        <f>E9-C9</f>
        <v/>
      </c>
    </row>
    <row r="10">
      <c r="A10" s="2" t="n">
        <v>9</v>
      </c>
      <c r="B10" s="3" t="n">
        <v>7</v>
      </c>
      <c r="C10" s="2">
        <f>C9+B10</f>
        <v/>
      </c>
      <c r="D10" s="3" t="n">
        <v>4</v>
      </c>
      <c r="E10" s="2">
        <f>MAX(C10,F9)</f>
        <v/>
      </c>
      <c r="F10" s="2">
        <f>E10+D10</f>
        <v/>
      </c>
      <c r="G10" s="2">
        <f>F10-C10</f>
        <v/>
      </c>
      <c r="H10" s="2">
        <f>MAX(0,C10-F9)</f>
        <v/>
      </c>
      <c r="I10" s="2">
        <f>E10-C10</f>
        <v/>
      </c>
    </row>
    <row r="11">
      <c r="A11" s="2" t="n">
        <v>10</v>
      </c>
      <c r="B11" s="3" t="n">
        <v>1</v>
      </c>
      <c r="C11" s="2">
        <f>C10+B11</f>
        <v/>
      </c>
      <c r="D11" s="3" t="n">
        <v>1</v>
      </c>
      <c r="E11" s="2">
        <f>MAX(C11,F10)</f>
        <v/>
      </c>
      <c r="F11" s="2">
        <f>E11+D11</f>
        <v/>
      </c>
      <c r="G11" s="2">
        <f>F11-C11</f>
        <v/>
      </c>
      <c r="H11" s="2">
        <f>MAX(0,C11-F10)</f>
        <v/>
      </c>
      <c r="I11" s="2">
        <f>E11-C11</f>
        <v/>
      </c>
    </row>
    <row r="12">
      <c r="A12" s="2" t="n">
        <v>11</v>
      </c>
      <c r="B12" s="3" t="n">
        <v>7</v>
      </c>
      <c r="C12" s="2">
        <f>C11+B12</f>
        <v/>
      </c>
      <c r="D12" s="3" t="n">
        <v>3</v>
      </c>
      <c r="E12" s="2">
        <f>MAX(C12,F11)</f>
        <v/>
      </c>
      <c r="F12" s="2">
        <f>E12+D12</f>
        <v/>
      </c>
      <c r="G12" s="2">
        <f>F12-C12</f>
        <v/>
      </c>
      <c r="H12" s="2">
        <f>MAX(0,C12-F11)</f>
        <v/>
      </c>
      <c r="I12" s="2">
        <f>E12-C12</f>
        <v/>
      </c>
    </row>
    <row r="13">
      <c r="A13" s="2" t="n">
        <v>12</v>
      </c>
      <c r="B13" s="3" t="n">
        <v>8</v>
      </c>
      <c r="C13" s="2">
        <f>C12+B13</f>
        <v/>
      </c>
      <c r="D13" s="3" t="n">
        <v>2</v>
      </c>
      <c r="E13" s="2">
        <f>MAX(C13,F12)</f>
        <v/>
      </c>
      <c r="F13" s="2">
        <f>E13+D13</f>
        <v/>
      </c>
      <c r="G13" s="2">
        <f>F13-C13</f>
        <v/>
      </c>
      <c r="H13" s="2">
        <f>MAX(0,C13-F12)</f>
        <v/>
      </c>
      <c r="I13" s="2">
        <f>E13-C13</f>
        <v/>
      </c>
    </row>
    <row r="14">
      <c r="A14" s="2" t="n">
        <v>13</v>
      </c>
      <c r="B14" s="3" t="n">
        <v>4</v>
      </c>
      <c r="C14" s="2">
        <f>C13+B14</f>
        <v/>
      </c>
      <c r="D14" s="3" t="n">
        <v>3</v>
      </c>
      <c r="E14" s="2">
        <f>MAX(C14,F13)</f>
        <v/>
      </c>
      <c r="F14" s="2">
        <f>E14+D14</f>
        <v/>
      </c>
      <c r="G14" s="2">
        <f>F14-C14</f>
        <v/>
      </c>
      <c r="H14" s="2">
        <f>MAX(0,C14-F13)</f>
        <v/>
      </c>
      <c r="I14" s="2">
        <f>E14-C14</f>
        <v/>
      </c>
    </row>
    <row r="15">
      <c r="A15" s="2" t="n">
        <v>14</v>
      </c>
      <c r="B15" s="3" t="n">
        <v>7</v>
      </c>
      <c r="C15" s="2">
        <f>C14+B15</f>
        <v/>
      </c>
      <c r="D15" s="3" t="n">
        <v>4</v>
      </c>
      <c r="E15" s="2">
        <f>MAX(C15,F14)</f>
        <v/>
      </c>
      <c r="F15" s="2">
        <f>E15+D15</f>
        <v/>
      </c>
      <c r="G15" s="2">
        <f>F15-C15</f>
        <v/>
      </c>
      <c r="H15" s="2">
        <f>MAX(0,C15-F14)</f>
        <v/>
      </c>
      <c r="I15" s="2">
        <f>E15-C15</f>
        <v/>
      </c>
    </row>
    <row r="16">
      <c r="A16" s="2" t="n">
        <v>15</v>
      </c>
      <c r="B16" s="3" t="n">
        <v>1</v>
      </c>
      <c r="C16" s="2">
        <f>C15+B16</f>
        <v/>
      </c>
      <c r="D16" s="3" t="n">
        <v>3</v>
      </c>
      <c r="E16" s="2">
        <f>MAX(C16,F15)</f>
        <v/>
      </c>
      <c r="F16" s="2">
        <f>E16+D16</f>
        <v/>
      </c>
      <c r="G16" s="2">
        <f>F16-C16</f>
        <v/>
      </c>
      <c r="H16" s="2">
        <f>MAX(0,C16-F15)</f>
        <v/>
      </c>
      <c r="I16" s="2">
        <f>E16-C16</f>
        <v/>
      </c>
    </row>
    <row r="17">
      <c r="A17" s="2" t="n">
        <v>16</v>
      </c>
      <c r="B17" s="3" t="n">
        <v>2</v>
      </c>
      <c r="C17" s="2">
        <f>C16+B17</f>
        <v/>
      </c>
      <c r="D17" s="3" t="n">
        <v>6</v>
      </c>
      <c r="E17" s="2">
        <f>MAX(C17,F16)</f>
        <v/>
      </c>
      <c r="F17" s="2">
        <f>E17+D17</f>
        <v/>
      </c>
      <c r="G17" s="2">
        <f>F17-C17</f>
        <v/>
      </c>
      <c r="H17" s="2">
        <f>MAX(0,C17-F16)</f>
        <v/>
      </c>
      <c r="I17" s="2">
        <f>E17-C17</f>
        <v/>
      </c>
    </row>
    <row r="18">
      <c r="A18" s="2" t="n">
        <v>17</v>
      </c>
      <c r="B18" s="3" t="n">
        <v>7</v>
      </c>
      <c r="C18" s="2">
        <f>C17+B18</f>
        <v/>
      </c>
      <c r="D18" s="3" t="n">
        <v>3</v>
      </c>
      <c r="E18" s="2">
        <f>MAX(C18,F17)</f>
        <v/>
      </c>
      <c r="F18" s="2">
        <f>E18+D18</f>
        <v/>
      </c>
      <c r="G18" s="2">
        <f>F18-C18</f>
        <v/>
      </c>
      <c r="H18" s="2">
        <f>MAX(0,C18-F17)</f>
        <v/>
      </c>
      <c r="I18" s="2">
        <f>E18-C18</f>
        <v/>
      </c>
    </row>
    <row r="19">
      <c r="A19" s="2" t="n">
        <v>18</v>
      </c>
      <c r="B19" s="3" t="n">
        <v>10</v>
      </c>
      <c r="C19" s="2">
        <f>C18+B19</f>
        <v/>
      </c>
      <c r="D19" s="3" t="n">
        <v>3</v>
      </c>
      <c r="E19" s="2">
        <f>MAX(C19,F18)</f>
        <v/>
      </c>
      <c r="F19" s="2">
        <f>E19+D19</f>
        <v/>
      </c>
      <c r="G19" s="2">
        <f>F19-C19</f>
        <v/>
      </c>
      <c r="H19" s="2">
        <f>MAX(0,C19-F18)</f>
        <v/>
      </c>
      <c r="I19" s="2">
        <f>E19-C19</f>
        <v/>
      </c>
    </row>
    <row r="20">
      <c r="A20" s="2" t="n">
        <v>19</v>
      </c>
      <c r="B20" s="3" t="n">
        <v>7</v>
      </c>
      <c r="C20" s="2">
        <f>C19+B20</f>
        <v/>
      </c>
      <c r="D20" s="3" t="n">
        <v>5</v>
      </c>
      <c r="E20" s="2">
        <f>MAX(C20,F19)</f>
        <v/>
      </c>
      <c r="F20" s="2">
        <f>E20+D20</f>
        <v/>
      </c>
      <c r="G20" s="2">
        <f>F20-C20</f>
        <v/>
      </c>
      <c r="H20" s="2">
        <f>MAX(0,C20-F19)</f>
        <v/>
      </c>
      <c r="I20" s="2">
        <f>E20-C20</f>
        <v/>
      </c>
    </row>
    <row r="21">
      <c r="A21" s="2" t="n">
        <v>20</v>
      </c>
      <c r="B21" s="3" t="n">
        <v>5</v>
      </c>
      <c r="C21" s="2">
        <f>C20+B21</f>
        <v/>
      </c>
      <c r="D21" s="3" t="n">
        <v>6</v>
      </c>
      <c r="E21" s="2">
        <f>MAX(C21,F20)</f>
        <v/>
      </c>
      <c r="F21" s="2">
        <f>E21+D21</f>
        <v/>
      </c>
      <c r="G21" s="2">
        <f>F21-C21</f>
        <v/>
      </c>
      <c r="H21" s="2">
        <f>MAX(0,C21-F20)</f>
        <v/>
      </c>
      <c r="I21" s="2">
        <f>E21-C21</f>
        <v/>
      </c>
    </row>
    <row r="22">
      <c r="F22" s="8" t="inlineStr">
        <is>
          <t>Sum</t>
        </is>
      </c>
      <c r="G22" s="9">
        <f>SUM(G2:G21)</f>
        <v/>
      </c>
      <c r="H22" s="9">
        <f>SUM(H2:H21)</f>
        <v/>
      </c>
      <c r="I22" s="9">
        <f>SUM(I2:I21)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 ht="42" customHeight="1">
      <c r="A1" s="1" t="inlineStr">
        <is>
          <t>Run</t>
        </is>
      </c>
      <c r="B1" s="1" t="inlineStr">
        <is>
          <t>Average time in system:</t>
        </is>
      </c>
      <c r="C1" s="1" t="inlineStr">
        <is>
          <t>Percent idle time:</t>
        </is>
      </c>
      <c r="D1" s="1" t="inlineStr">
        <is>
          <t>Average waiting time per customer:</t>
        </is>
      </c>
      <c r="E1" s="1" t="inlineStr">
        <is>
          <t>Fraction having to wait:</t>
        </is>
      </c>
      <c r="F1" s="1" t="inlineStr">
        <is>
          <t>Average waiting time of those who waited:</t>
        </is>
      </c>
    </row>
    <row r="2">
      <c r="A2" s="2" t="n">
        <v>1</v>
      </c>
      <c r="B2" s="10" t="n">
        <v>4.15</v>
      </c>
      <c r="C2" s="10" t="n">
        <v>0.410714</v>
      </c>
      <c r="D2" s="10" t="n">
        <v>0.85</v>
      </c>
      <c r="E2" s="10" t="n">
        <v>0.3</v>
      </c>
      <c r="F2" s="10" t="n">
        <v>2.833333</v>
      </c>
    </row>
    <row r="3">
      <c r="A3" s="2" t="n">
        <v>2</v>
      </c>
      <c r="B3" s="10" t="n">
        <v>3.45</v>
      </c>
      <c r="C3" s="10" t="n">
        <v>0.465517</v>
      </c>
      <c r="D3" s="10" t="n">
        <v>0.35</v>
      </c>
      <c r="E3" s="10" t="n">
        <v>0.15</v>
      </c>
      <c r="F3" s="10" t="n">
        <v>2.333333</v>
      </c>
    </row>
    <row r="4">
      <c r="A4" s="2" t="n">
        <v>3</v>
      </c>
      <c r="B4" s="10" t="n">
        <v>4.15</v>
      </c>
      <c r="C4" s="10" t="n">
        <v>0.365385</v>
      </c>
      <c r="D4" s="10" t="n">
        <v>0.85</v>
      </c>
      <c r="E4" s="10" t="n">
        <v>0.3</v>
      </c>
      <c r="F4" s="10" t="n">
        <v>2.833333</v>
      </c>
    </row>
    <row r="5">
      <c r="A5" s="2" t="n">
        <v>4</v>
      </c>
      <c r="B5" s="10" t="n">
        <v>3.3</v>
      </c>
      <c r="C5" s="10" t="n">
        <v>0.434343</v>
      </c>
      <c r="D5" s="10" t="n">
        <v>0.5</v>
      </c>
      <c r="E5" s="10" t="n">
        <v>0.2</v>
      </c>
      <c r="F5" s="10" t="n">
        <v>2.5</v>
      </c>
    </row>
    <row r="6">
      <c r="A6" s="2" t="n">
        <v>5</v>
      </c>
      <c r="B6" s="10" t="n">
        <v>4.9</v>
      </c>
      <c r="C6" s="10" t="n">
        <v>0.254902</v>
      </c>
      <c r="D6" s="10" t="n">
        <v>1.1</v>
      </c>
      <c r="E6" s="10" t="n">
        <v>0.45</v>
      </c>
      <c r="F6" s="10" t="n">
        <v>2.444444</v>
      </c>
    </row>
    <row r="7">
      <c r="A7" s="2" t="n">
        <v>6</v>
      </c>
      <c r="B7" s="10" t="n">
        <v>5.5</v>
      </c>
      <c r="C7" s="10" t="n">
        <v>0.209524</v>
      </c>
      <c r="D7" s="10" t="n">
        <v>1.35</v>
      </c>
      <c r="E7" s="10" t="n">
        <v>0.5</v>
      </c>
      <c r="F7" s="10" t="n">
        <v>2.7</v>
      </c>
    </row>
    <row r="8">
      <c r="A8" s="2" t="n">
        <v>7</v>
      </c>
      <c r="B8" s="10" t="n">
        <v>6.9</v>
      </c>
      <c r="C8" s="10" t="n">
        <v>0.229167</v>
      </c>
      <c r="D8" s="10" t="n">
        <v>3.2</v>
      </c>
      <c r="E8" s="10" t="n">
        <v>0.6</v>
      </c>
      <c r="F8" s="10" t="n">
        <v>5.333333</v>
      </c>
    </row>
    <row r="9">
      <c r="A9" s="2" t="n">
        <v>8</v>
      </c>
      <c r="B9" s="10" t="n">
        <v>5.7</v>
      </c>
      <c r="C9" s="10" t="n">
        <v>0.336207</v>
      </c>
      <c r="D9" s="10" t="n">
        <v>1.85</v>
      </c>
      <c r="E9" s="10" t="n">
        <v>0.45</v>
      </c>
      <c r="F9" s="10" t="n">
        <v>4.111111</v>
      </c>
    </row>
    <row r="10">
      <c r="A10" s="2" t="n">
        <v>9</v>
      </c>
      <c r="B10" s="10" t="n">
        <v>4.75</v>
      </c>
      <c r="C10" s="10" t="n">
        <v>0.354545</v>
      </c>
      <c r="D10" s="10" t="n">
        <v>1.2</v>
      </c>
      <c r="E10" s="10" t="n">
        <v>0.3</v>
      </c>
      <c r="F10" s="10" t="n">
        <v>4</v>
      </c>
    </row>
    <row r="11">
      <c r="A11" s="2" t="n">
        <v>10</v>
      </c>
      <c r="B11" s="10" t="n">
        <v>3.8</v>
      </c>
      <c r="C11" s="10" t="n">
        <v>0.431034</v>
      </c>
      <c r="D11" s="10" t="n">
        <v>0.5</v>
      </c>
      <c r="E11" s="10" t="n">
        <v>0.25</v>
      </c>
      <c r="F11" s="10" t="n">
        <v>2</v>
      </c>
    </row>
    <row r="13">
      <c r="A13" s="5" t="inlineStr">
        <is>
          <t>Sample mean (X barra)</t>
        </is>
      </c>
      <c r="B13" s="6">
        <f>AVERAGE(B2:B11)</f>
        <v/>
      </c>
      <c r="C13" s="6">
        <f>AVERAGE(C2:C11)</f>
        <v/>
      </c>
      <c r="D13" s="6">
        <f>AVERAGE(D2:D11)</f>
        <v/>
      </c>
      <c r="E13" s="6">
        <f>AVERAGE(E2:E11)</f>
        <v/>
      </c>
      <c r="F13" s="6">
        <f>AVERAGE(F2:F11)</f>
        <v/>
      </c>
    </row>
    <row r="14">
      <c r="A14" s="5" t="inlineStr">
        <is>
          <t>Sample std. dev. (S)</t>
        </is>
      </c>
      <c r="B14" s="6">
        <f>STDEV(B2:B11)</f>
        <v/>
      </c>
      <c r="C14" s="6">
        <f>STDEV(C2:C11)</f>
        <v/>
      </c>
      <c r="D14" s="6">
        <f>STDEV(D2:D11)</f>
        <v/>
      </c>
      <c r="E14" s="6">
        <f>STDEV(E2:E11)</f>
        <v/>
      </c>
      <c r="F14" s="6">
        <f>STDEV(F2:F11)</f>
        <v/>
      </c>
    </row>
    <row r="15">
      <c r="A15" s="5" t="inlineStr">
        <is>
          <t>t (95%, 9 gl)</t>
        </is>
      </c>
      <c r="B15" s="6">
        <f>T.INV.2T(0.05,9)</f>
        <v/>
      </c>
      <c r="C15" s="6">
        <f>T.INV.2T(0.05,9)</f>
        <v/>
      </c>
      <c r="D15" s="6">
        <f>T.INV.2T(0.05,9)</f>
        <v/>
      </c>
      <c r="E15" s="6">
        <f>T.INV.2T(0.05,9)</f>
        <v/>
      </c>
      <c r="F15" s="6">
        <f>T.INV.2T(0.05,9)</f>
        <v/>
      </c>
    </row>
    <row r="16">
      <c r="A16" s="5" t="inlineStr">
        <is>
          <t>h 95%</t>
        </is>
      </c>
      <c r="B16" s="6">
        <f>B15*B14/SQRT(10)</f>
        <v/>
      </c>
      <c r="C16" s="6">
        <f>C15*C14/SQRT(10)</f>
        <v/>
      </c>
      <c r="D16" s="6">
        <f>D15*D14/SQRT(10)</f>
        <v/>
      </c>
      <c r="E16" s="6">
        <f>E15*E14/SQRT(10)</f>
        <v/>
      </c>
      <c r="F16" s="6">
        <f>F15*F14/SQRT(10)</f>
        <v/>
      </c>
    </row>
    <row r="17">
      <c r="A17" s="5" t="inlineStr">
        <is>
          <t>IC 95% inferior</t>
        </is>
      </c>
      <c r="B17" s="6">
        <f>B13-B16</f>
        <v/>
      </c>
      <c r="C17" s="6">
        <f>C13-C16</f>
        <v/>
      </c>
      <c r="D17" s="6">
        <f>D13-D16</f>
        <v/>
      </c>
      <c r="E17" s="6">
        <f>E13-E16</f>
        <v/>
      </c>
      <c r="F17" s="6">
        <f>F13-F16</f>
        <v/>
      </c>
    </row>
    <row r="18">
      <c r="A18" s="5" t="inlineStr">
        <is>
          <t>IC 95% superior</t>
        </is>
      </c>
      <c r="B18" s="6">
        <f>B13+B16</f>
        <v/>
      </c>
      <c r="C18" s="6">
        <f>C13+C16</f>
        <v/>
      </c>
      <c r="D18" s="6">
        <f>D13+D16</f>
        <v/>
      </c>
      <c r="E18" s="6">
        <f>E13+E16</f>
        <v/>
      </c>
      <c r="F18" s="6">
        <f>F13+F16</f>
        <v/>
      </c>
    </row>
    <row r="19">
      <c r="A19" s="5" t="inlineStr">
        <is>
          <t>t (99%, 9 gl)</t>
        </is>
      </c>
      <c r="B19" s="6">
        <f>T.INV.2T(0.01,9)</f>
        <v/>
      </c>
      <c r="C19" s="6">
        <f>T.INV.2T(0.01,9)</f>
        <v/>
      </c>
      <c r="D19" s="6">
        <f>T.INV.2T(0.01,9)</f>
        <v/>
      </c>
      <c r="E19" s="6">
        <f>T.INV.2T(0.01,9)</f>
        <v/>
      </c>
      <c r="F19" s="6">
        <f>T.INV.2T(0.01,9)</f>
        <v/>
      </c>
    </row>
    <row r="20">
      <c r="A20" s="5" t="inlineStr">
        <is>
          <t>h 99%</t>
        </is>
      </c>
      <c r="B20" s="6">
        <f>B19*B14/SQRT(10)</f>
        <v/>
      </c>
      <c r="C20" s="6">
        <f>C19*C14/SQRT(10)</f>
        <v/>
      </c>
      <c r="D20" s="6">
        <f>D19*D14/SQRT(10)</f>
        <v/>
      </c>
      <c r="E20" s="6">
        <f>E19*E14/SQRT(10)</f>
        <v/>
      </c>
      <c r="F20" s="6">
        <f>F19*F14/SQRT(10)</f>
        <v/>
      </c>
    </row>
    <row r="21">
      <c r="A21" s="5" t="inlineStr">
        <is>
          <t>IC 99% inferior</t>
        </is>
      </c>
      <c r="B21" s="6">
        <f>B13-B20</f>
        <v/>
      </c>
      <c r="C21" s="6">
        <f>C13-C20</f>
        <v/>
      </c>
      <c r="D21" s="6">
        <f>D13-D20</f>
        <v/>
      </c>
      <c r="E21" s="6">
        <f>E13-E20</f>
        <v/>
      </c>
      <c r="F21" s="6">
        <f>F13-F20</f>
        <v/>
      </c>
    </row>
    <row r="22">
      <c r="A22" s="5" t="inlineStr">
        <is>
          <t>IC 99% superior</t>
        </is>
      </c>
      <c r="B22" s="6">
        <f>B13+B20</f>
        <v/>
      </c>
      <c r="C22" s="6">
        <f>C13+C20</f>
        <v/>
      </c>
      <c r="D22" s="6">
        <f>D13+D20</f>
        <v/>
      </c>
      <c r="E22" s="6">
        <f>E13+E20</f>
        <v/>
      </c>
      <c r="F22" s="6">
        <f>F13+F20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2026-08-17T19:26:29Z</dcterms:created>
  <dcterms:modified xmlns:dcterms="http://purl.org/dc/terms/" xmlns:xsi="http://www.w3.org/2001/XMLSchema-instance" xsi:type="dcterms:W3CDTF">2026-08-17T19:26:29Z</dcterms:modified>
</cp:coreProperties>
</file>